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11f6f237ad0f3e2/Desktop/Customer_Segmentation_Dataset/"/>
    </mc:Choice>
  </mc:AlternateContent>
  <xr:revisionPtr revIDLastSave="0" documentId="8_{22AE9E7F-193D-4B2A-A19F-368169E753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blTransactions" sheetId="1" r:id="rId1"/>
    <sheet name="RFM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E61" i="2" l="1"/>
  <c r="E57" i="2"/>
  <c r="E45" i="2"/>
  <c r="E41" i="2"/>
  <c r="E29" i="2"/>
  <c r="E17" i="2"/>
  <c r="H17" i="2" s="1"/>
  <c r="E13" i="2"/>
  <c r="E60" i="2"/>
  <c r="H60" i="2" s="1"/>
  <c r="E56" i="2"/>
  <c r="E52" i="2"/>
  <c r="E48" i="2"/>
  <c r="E44" i="2"/>
  <c r="E40" i="2"/>
  <c r="E36" i="2"/>
  <c r="E32" i="2"/>
  <c r="E28" i="2"/>
  <c r="E24" i="2"/>
  <c r="E20" i="2"/>
  <c r="E16" i="2"/>
  <c r="E12" i="2"/>
  <c r="E8" i="2"/>
  <c r="E4" i="2"/>
  <c r="E49" i="2"/>
  <c r="E37" i="2"/>
  <c r="E21" i="2"/>
  <c r="E9" i="2"/>
  <c r="E59" i="2"/>
  <c r="E55" i="2"/>
  <c r="E51" i="2"/>
  <c r="E47" i="2"/>
  <c r="E43" i="2"/>
  <c r="E39" i="2"/>
  <c r="E35" i="2"/>
  <c r="E31" i="2"/>
  <c r="E27" i="2"/>
  <c r="E23" i="2"/>
  <c r="E19" i="2"/>
  <c r="E15" i="2"/>
  <c r="E11" i="2"/>
  <c r="E7" i="2"/>
  <c r="E3" i="2"/>
  <c r="E53" i="2"/>
  <c r="E33" i="2"/>
  <c r="E25" i="2"/>
  <c r="E5" i="2"/>
  <c r="E6" i="2"/>
  <c r="H6" i="2" s="1"/>
  <c r="E58" i="2"/>
  <c r="E50" i="2"/>
  <c r="E38" i="2"/>
  <c r="E30" i="2"/>
  <c r="E22" i="2"/>
  <c r="E14" i="2"/>
  <c r="E42" i="2"/>
  <c r="E2" i="2"/>
  <c r="E54" i="2"/>
  <c r="E46" i="2"/>
  <c r="E34" i="2"/>
  <c r="E26" i="2"/>
  <c r="E18" i="2"/>
  <c r="E10" i="2"/>
  <c r="H19" i="2" l="1"/>
  <c r="H22" i="2"/>
  <c r="H38" i="2"/>
  <c r="H54" i="2"/>
  <c r="H48" i="2"/>
  <c r="H32" i="2"/>
  <c r="H4" i="2"/>
  <c r="H9" i="2"/>
  <c r="H53" i="2"/>
  <c r="H37" i="2"/>
  <c r="H21" i="2"/>
  <c r="H27" i="2"/>
  <c r="H43" i="2"/>
  <c r="H31" i="2"/>
  <c r="H47" i="2"/>
  <c r="H26" i="2"/>
  <c r="H42" i="2"/>
  <c r="H58" i="2"/>
  <c r="H7" i="2"/>
  <c r="H16" i="2"/>
  <c r="H33" i="2"/>
  <c r="H55" i="2"/>
  <c r="H10" i="2"/>
  <c r="H28" i="2"/>
  <c r="H13" i="2"/>
  <c r="H5" i="2"/>
  <c r="H61" i="2"/>
  <c r="H45" i="2"/>
  <c r="H29" i="2"/>
  <c r="H59" i="2"/>
  <c r="H35" i="2"/>
  <c r="H51" i="2"/>
  <c r="H14" i="2"/>
  <c r="H30" i="2"/>
  <c r="H46" i="2"/>
  <c r="H56" i="2"/>
  <c r="H40" i="2"/>
  <c r="H24" i="2"/>
  <c r="H12" i="2"/>
  <c r="H15" i="2"/>
  <c r="H49" i="2"/>
  <c r="H44" i="2"/>
  <c r="H11" i="2"/>
  <c r="H3" i="2"/>
  <c r="H57" i="2"/>
  <c r="H41" i="2"/>
  <c r="H25" i="2"/>
  <c r="H23" i="2"/>
  <c r="H39" i="2"/>
  <c r="H2" i="2"/>
  <c r="H18" i="2"/>
  <c r="H34" i="2"/>
  <c r="H50" i="2"/>
  <c r="H52" i="2"/>
  <c r="H36" i="2"/>
  <c r="H20" i="2"/>
  <c r="H8" i="2"/>
</calcChain>
</file>

<file path=xl/sharedStrings.xml><?xml version="1.0" encoding="utf-8"?>
<sst xmlns="http://schemas.openxmlformats.org/spreadsheetml/2006/main" count="671" uniqueCount="285">
  <si>
    <t>CustomerID</t>
  </si>
  <si>
    <t>Date</t>
  </si>
  <si>
    <t>Amount</t>
  </si>
  <si>
    <t>CUST037</t>
  </si>
  <si>
    <t>2025-10-17</t>
  </si>
  <si>
    <t>CUST045</t>
  </si>
  <si>
    <t>2025-07-27</t>
  </si>
  <si>
    <t>CUST016</t>
  </si>
  <si>
    <t>2025-06-25</t>
  </si>
  <si>
    <t>CUST027</t>
  </si>
  <si>
    <t>2025-08-22</t>
  </si>
  <si>
    <t>CUST011</t>
  </si>
  <si>
    <t>2025-06-16</t>
  </si>
  <si>
    <t>CUST003</t>
  </si>
  <si>
    <t>2025-06-07</t>
  </si>
  <si>
    <t>CUST021</t>
  </si>
  <si>
    <t>2025-04-13</t>
  </si>
  <si>
    <t>CUST013</t>
  </si>
  <si>
    <t>2025-05-27</t>
  </si>
  <si>
    <t>2025-11-21</t>
  </si>
  <si>
    <t>CUST052</t>
  </si>
  <si>
    <t>2025-06-29</t>
  </si>
  <si>
    <t>CUST012</t>
  </si>
  <si>
    <t>CUST042</t>
  </si>
  <si>
    <t>2025-09-09</t>
  </si>
  <si>
    <t>CUST043</t>
  </si>
  <si>
    <t>2026-03-04</t>
  </si>
  <si>
    <t>CUST057</t>
  </si>
  <si>
    <t>2025-12-04</t>
  </si>
  <si>
    <t>CUST039</t>
  </si>
  <si>
    <t>2026-04-04</t>
  </si>
  <si>
    <t>CUST059</t>
  </si>
  <si>
    <t>2025-11-09</t>
  </si>
  <si>
    <t>CUST049</t>
  </si>
  <si>
    <t>2026-01-21</t>
  </si>
  <si>
    <t>CUST032</t>
  </si>
  <si>
    <t>2026-01-05</t>
  </si>
  <si>
    <t>CUST035</t>
  </si>
  <si>
    <t>2026-02-06</t>
  </si>
  <si>
    <t>2026-04-07</t>
  </si>
  <si>
    <t>CUST009</t>
  </si>
  <si>
    <t>2025-05-31</t>
  </si>
  <si>
    <t>CUST051</t>
  </si>
  <si>
    <t>2026-02-22</t>
  </si>
  <si>
    <t>CUST024</t>
  </si>
  <si>
    <t>2025-10-10</t>
  </si>
  <si>
    <t>CUST046</t>
  </si>
  <si>
    <t>2026-03-02</t>
  </si>
  <si>
    <t>2026-02-11</t>
  </si>
  <si>
    <t>CUST033</t>
  </si>
  <si>
    <t>2025-07-07</t>
  </si>
  <si>
    <t>CUST034</t>
  </si>
  <si>
    <t>2025-11-07</t>
  </si>
  <si>
    <t>CUST036</t>
  </si>
  <si>
    <t>2026-01-08</t>
  </si>
  <si>
    <t>CUST054</t>
  </si>
  <si>
    <t>2026-02-04</t>
  </si>
  <si>
    <t>CUST044</t>
  </si>
  <si>
    <t>2025-07-04</t>
  </si>
  <si>
    <t>CUST001</t>
  </si>
  <si>
    <t>2025-08-23</t>
  </si>
  <si>
    <t>CUST020</t>
  </si>
  <si>
    <t>2025-08-12</t>
  </si>
  <si>
    <t>CUST007</t>
  </si>
  <si>
    <t>2025-06-12</t>
  </si>
  <si>
    <t>2025-06-28</t>
  </si>
  <si>
    <t>2025-10-23</t>
  </si>
  <si>
    <t>CUST029</t>
  </si>
  <si>
    <t>2025-08-10</t>
  </si>
  <si>
    <t>CUST058</t>
  </si>
  <si>
    <t>2025-08-20</t>
  </si>
  <si>
    <t>CUST014</t>
  </si>
  <si>
    <t>2025-11-28</t>
  </si>
  <si>
    <t>2026-02-08</t>
  </si>
  <si>
    <t>2025-07-26</t>
  </si>
  <si>
    <t>2026-04-03</t>
  </si>
  <si>
    <t>2025-10-27</t>
  </si>
  <si>
    <t>2025-12-09</t>
  </si>
  <si>
    <t>2026-02-18</t>
  </si>
  <si>
    <t>CUST004</t>
  </si>
  <si>
    <t>2026-01-11</t>
  </si>
  <si>
    <t>2026-03-24</t>
  </si>
  <si>
    <t>CUST041</t>
  </si>
  <si>
    <t>2025-04-28</t>
  </si>
  <si>
    <t>2025-09-30</t>
  </si>
  <si>
    <t>2025-09-25</t>
  </si>
  <si>
    <t>2025-07-17</t>
  </si>
  <si>
    <t>CUST022</t>
  </si>
  <si>
    <t>2026-01-02</t>
  </si>
  <si>
    <t>2026-02-09</t>
  </si>
  <si>
    <t>2025-12-11</t>
  </si>
  <si>
    <t>CUST019</t>
  </si>
  <si>
    <t>2026-02-13</t>
  </si>
  <si>
    <t>CUST055</t>
  </si>
  <si>
    <t>2025-12-29</t>
  </si>
  <si>
    <t>2025-08-16</t>
  </si>
  <si>
    <t>CUST056</t>
  </si>
  <si>
    <t>2025-06-03</t>
  </si>
  <si>
    <t>CUST023</t>
  </si>
  <si>
    <t>2026-02-17</t>
  </si>
  <si>
    <t>2025-05-12</t>
  </si>
  <si>
    <t>CUST010</t>
  </si>
  <si>
    <t>2025-05-08</t>
  </si>
  <si>
    <t>2025-12-31</t>
  </si>
  <si>
    <t>2025-10-06</t>
  </si>
  <si>
    <t>2025-04-23</t>
  </si>
  <si>
    <t>2026-03-20</t>
  </si>
  <si>
    <t>2025-06-22</t>
  </si>
  <si>
    <t>2025-09-04</t>
  </si>
  <si>
    <t>2026-01-19</t>
  </si>
  <si>
    <t>2025-12-26</t>
  </si>
  <si>
    <t>2026-01-16</t>
  </si>
  <si>
    <t>2026-02-16</t>
  </si>
  <si>
    <t>2025-09-19</t>
  </si>
  <si>
    <t>CUST018</t>
  </si>
  <si>
    <t>2026-04-11</t>
  </si>
  <si>
    <t>2025-06-10</t>
  </si>
  <si>
    <t>CUST026</t>
  </si>
  <si>
    <t>2025-06-30</t>
  </si>
  <si>
    <t>2026-02-10</t>
  </si>
  <si>
    <t>CUST030</t>
  </si>
  <si>
    <t>CUST028</t>
  </si>
  <si>
    <t>2025-04-29</t>
  </si>
  <si>
    <t>2025-12-21</t>
  </si>
  <si>
    <t>2025-08-17</t>
  </si>
  <si>
    <t>2025-09-23</t>
  </si>
  <si>
    <t>2026-01-13</t>
  </si>
  <si>
    <t>2026-01-23</t>
  </si>
  <si>
    <t>CUST031</t>
  </si>
  <si>
    <t>2025-08-27</t>
  </si>
  <si>
    <t>2025-06-21</t>
  </si>
  <si>
    <t>2025-07-20</t>
  </si>
  <si>
    <t>2025-05-16</t>
  </si>
  <si>
    <t>2025-07-01</t>
  </si>
  <si>
    <t>CUST060</t>
  </si>
  <si>
    <t>2025-10-31</t>
  </si>
  <si>
    <t>2025-07-29</t>
  </si>
  <si>
    <t>CUST017</t>
  </si>
  <si>
    <t>2025-05-15</t>
  </si>
  <si>
    <t>2025-11-06</t>
  </si>
  <si>
    <t>2025-06-26</t>
  </si>
  <si>
    <t>2026-01-12</t>
  </si>
  <si>
    <t>2025-11-23</t>
  </si>
  <si>
    <t>2026-01-01</t>
  </si>
  <si>
    <t>2025-07-19</t>
  </si>
  <si>
    <t>2026-03-17</t>
  </si>
  <si>
    <t>2025-12-24</t>
  </si>
  <si>
    <t>CUST038</t>
  </si>
  <si>
    <t>2026-01-31</t>
  </si>
  <si>
    <t>2025-08-29</t>
  </si>
  <si>
    <t>2025-09-16</t>
  </si>
  <si>
    <t>2025-07-22</t>
  </si>
  <si>
    <t>2025-06-19</t>
  </si>
  <si>
    <t>2026-01-30</t>
  </si>
  <si>
    <t>2025-04-14</t>
  </si>
  <si>
    <t>2025-10-25</t>
  </si>
  <si>
    <t>2025-12-10</t>
  </si>
  <si>
    <t>2025-10-12</t>
  </si>
  <si>
    <t>2025-11-19</t>
  </si>
  <si>
    <t>2025-08-01</t>
  </si>
  <si>
    <t>2025-05-05</t>
  </si>
  <si>
    <t>2026-02-02</t>
  </si>
  <si>
    <t>2025-07-30</t>
  </si>
  <si>
    <t>2026-03-08</t>
  </si>
  <si>
    <t>2025-08-13</t>
  </si>
  <si>
    <t>2025-12-16</t>
  </si>
  <si>
    <t>2025-11-25</t>
  </si>
  <si>
    <t>2025-11-16</t>
  </si>
  <si>
    <t>2025-09-08</t>
  </si>
  <si>
    <t>CUST008</t>
  </si>
  <si>
    <t>2026-01-15</t>
  </si>
  <si>
    <t>2025-07-08</t>
  </si>
  <si>
    <t>2025-05-24</t>
  </si>
  <si>
    <t>2025-12-12</t>
  </si>
  <si>
    <t>2025-11-26</t>
  </si>
  <si>
    <t>2025-11-27</t>
  </si>
  <si>
    <t>2026-02-26</t>
  </si>
  <si>
    <t>CUST015</t>
  </si>
  <si>
    <t>2025-10-29</t>
  </si>
  <si>
    <t>2025-10-02</t>
  </si>
  <si>
    <t>2025-06-20</t>
  </si>
  <si>
    <t>2025-12-23</t>
  </si>
  <si>
    <t>CUST050</t>
  </si>
  <si>
    <t>2025-12-05</t>
  </si>
  <si>
    <t>2025-12-07</t>
  </si>
  <si>
    <t>2026-02-03</t>
  </si>
  <si>
    <t>CUST040</t>
  </si>
  <si>
    <t>CUST053</t>
  </si>
  <si>
    <t>2026-02-19</t>
  </si>
  <si>
    <t>2025-09-06</t>
  </si>
  <si>
    <t>CUST047</t>
  </si>
  <si>
    <t>2025-04-24</t>
  </si>
  <si>
    <t>CUST025</t>
  </si>
  <si>
    <t>2026-02-27</t>
  </si>
  <si>
    <t>2026-03-01</t>
  </si>
  <si>
    <t>2026-04-08</t>
  </si>
  <si>
    <t>2025-09-14</t>
  </si>
  <si>
    <t>2025-10-16</t>
  </si>
  <si>
    <t>2025-05-22</t>
  </si>
  <si>
    <t>2025-07-03</t>
  </si>
  <si>
    <t>2025-05-06</t>
  </si>
  <si>
    <t>2025-11-20</t>
  </si>
  <si>
    <t>2025-10-20</t>
  </si>
  <si>
    <t>2025-11-17</t>
  </si>
  <si>
    <t>2025-04-25</t>
  </si>
  <si>
    <t>2025-10-03</t>
  </si>
  <si>
    <t>2025-05-07</t>
  </si>
  <si>
    <t>2025-05-02</t>
  </si>
  <si>
    <t>2026-04-06</t>
  </si>
  <si>
    <t>2025-09-15</t>
  </si>
  <si>
    <t>2026-03-27</t>
  </si>
  <si>
    <t>2025-10-19</t>
  </si>
  <si>
    <t>2025-09-11</t>
  </si>
  <si>
    <t>2026-03-23</t>
  </si>
  <si>
    <t>2025-12-20</t>
  </si>
  <si>
    <t>2025-11-02</t>
  </si>
  <si>
    <t>2025-06-13</t>
  </si>
  <si>
    <t>CUST005</t>
  </si>
  <si>
    <t>2025-06-11</t>
  </si>
  <si>
    <t>2025-07-10</t>
  </si>
  <si>
    <t>2025-07-13</t>
  </si>
  <si>
    <t>2026-02-05</t>
  </si>
  <si>
    <t>2025-12-06</t>
  </si>
  <si>
    <t>2026-03-18</t>
  </si>
  <si>
    <t>2025-08-03</t>
  </si>
  <si>
    <t>2025-05-03</t>
  </si>
  <si>
    <t>2025-08-30</t>
  </si>
  <si>
    <t>CUST002</t>
  </si>
  <si>
    <t>2025-12-14</t>
  </si>
  <si>
    <t>2026-01-14</t>
  </si>
  <si>
    <t>2025-07-31</t>
  </si>
  <si>
    <t>2026-01-06</t>
  </si>
  <si>
    <t>2026-02-20</t>
  </si>
  <si>
    <t>2025-08-07</t>
  </si>
  <si>
    <t>2025-04-27</t>
  </si>
  <si>
    <t>2025-12-18</t>
  </si>
  <si>
    <t>2026-01-24</t>
  </si>
  <si>
    <t>2026-01-17</t>
  </si>
  <si>
    <t>2025-06-23</t>
  </si>
  <si>
    <t>2025-08-18</t>
  </si>
  <si>
    <t>2026-02-07</t>
  </si>
  <si>
    <t>2025-09-12</t>
  </si>
  <si>
    <t>2025-10-04</t>
  </si>
  <si>
    <t>2026-02-14</t>
  </si>
  <si>
    <t>2025-04-18</t>
  </si>
  <si>
    <t>2025-09-03</t>
  </si>
  <si>
    <t>CUST048</t>
  </si>
  <si>
    <t>2025-06-27</t>
  </si>
  <si>
    <t>2025-11-29</t>
  </si>
  <si>
    <t>2025-09-01</t>
  </si>
  <si>
    <t>2026-03-16</t>
  </si>
  <si>
    <t>2026-02-23</t>
  </si>
  <si>
    <t>2026-02-21</t>
  </si>
  <si>
    <t>2025-12-25</t>
  </si>
  <si>
    <t>2025-05-19</t>
  </si>
  <si>
    <t>2025-10-01</t>
  </si>
  <si>
    <t>2025-05-09</t>
  </si>
  <si>
    <t>2025-10-11</t>
  </si>
  <si>
    <t>2026-01-18</t>
  </si>
  <si>
    <t>CUST006</t>
  </si>
  <si>
    <t>2025-11-13</t>
  </si>
  <si>
    <t>2026-02-15</t>
  </si>
  <si>
    <t>2025-07-18</t>
  </si>
  <si>
    <t>2025-07-09</t>
  </si>
  <si>
    <t>2025-08-02</t>
  </si>
  <si>
    <t>2025-05-10</t>
  </si>
  <si>
    <t>2025-05-01</t>
  </si>
  <si>
    <t>2026-03-03</t>
  </si>
  <si>
    <t>2025-10-14</t>
  </si>
  <si>
    <t>2025-11-11</t>
  </si>
  <si>
    <t>2025-08-28</t>
  </si>
  <si>
    <t>2026-02-01</t>
  </si>
  <si>
    <t>2025-07-05</t>
  </si>
  <si>
    <t>2026-01-26</t>
  </si>
  <si>
    <t>2025-06-06</t>
  </si>
  <si>
    <t>2026-01-25</t>
  </si>
  <si>
    <t>2025-08-31</t>
  </si>
  <si>
    <t>Recency</t>
  </si>
  <si>
    <t>Frequency</t>
  </si>
  <si>
    <t>Monetary</t>
  </si>
  <si>
    <t>R_Score</t>
  </si>
  <si>
    <t>F_Score</t>
  </si>
  <si>
    <t>M_Score</t>
  </si>
  <si>
    <t>RFM_Score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</si>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</sst>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workbookViewId="0">
      <selection activeCell="C1" sqref="A1:C301"/>
    </sheetView>
  </sheetViews>
  <sheetFormatPr defaultRowHeight="14.4" x14ac:dyDescent="0.3"/>
  <cols>
    <col min="1" max="1" width="15.33203125" customWidth="1"/>
    <col min="2" max="2" width="14.21875" customWidth="1"/>
    <col min="3" max="3" width="1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9892</v>
      </c>
    </row>
    <row r="3" spans="1:3" x14ac:dyDescent="0.3">
      <c r="A3" s="1" t="s">
        <v>5</v>
      </c>
      <c r="B3" s="1" t="s">
        <v>6</v>
      </c>
      <c r="C3" s="1">
        <v>2033</v>
      </c>
    </row>
    <row r="4" spans="1:3" x14ac:dyDescent="0.3">
      <c r="A4" s="1" t="s">
        <v>7</v>
      </c>
      <c r="B4" s="1" t="s">
        <v>8</v>
      </c>
      <c r="C4" s="1">
        <v>8362</v>
      </c>
    </row>
    <row r="5" spans="1:3" x14ac:dyDescent="0.3">
      <c r="A5" s="1" t="s">
        <v>9</v>
      </c>
      <c r="B5" s="1" t="s">
        <v>10</v>
      </c>
      <c r="C5" s="1">
        <v>2887</v>
      </c>
    </row>
    <row r="6" spans="1:3" x14ac:dyDescent="0.3">
      <c r="A6" s="1" t="s">
        <v>11</v>
      </c>
      <c r="B6" s="1" t="s">
        <v>12</v>
      </c>
      <c r="C6" s="1">
        <v>8377</v>
      </c>
    </row>
    <row r="7" spans="1:3" x14ac:dyDescent="0.3">
      <c r="A7" s="1" t="s">
        <v>13</v>
      </c>
      <c r="B7" s="1" t="s">
        <v>14</v>
      </c>
      <c r="C7" s="1">
        <v>642</v>
      </c>
    </row>
    <row r="8" spans="1:3" x14ac:dyDescent="0.3">
      <c r="A8" s="1" t="s">
        <v>15</v>
      </c>
      <c r="B8" s="1" t="s">
        <v>16</v>
      </c>
      <c r="C8" s="1">
        <v>6208</v>
      </c>
    </row>
    <row r="9" spans="1:3" x14ac:dyDescent="0.3">
      <c r="A9" s="1" t="s">
        <v>17</v>
      </c>
      <c r="B9" s="1" t="s">
        <v>18</v>
      </c>
      <c r="C9" s="1">
        <v>3535</v>
      </c>
    </row>
    <row r="10" spans="1:3" x14ac:dyDescent="0.3">
      <c r="A10" s="1" t="s">
        <v>11</v>
      </c>
      <c r="B10" s="1" t="s">
        <v>19</v>
      </c>
      <c r="C10" s="1">
        <v>3665</v>
      </c>
    </row>
    <row r="11" spans="1:3" x14ac:dyDescent="0.3">
      <c r="A11" s="1" t="s">
        <v>20</v>
      </c>
      <c r="B11" s="1" t="s">
        <v>21</v>
      </c>
      <c r="C11" s="1">
        <v>7717</v>
      </c>
    </row>
    <row r="12" spans="1:3" x14ac:dyDescent="0.3">
      <c r="A12" s="1" t="s">
        <v>22</v>
      </c>
      <c r="B12" s="1" t="s">
        <v>8</v>
      </c>
      <c r="C12" s="1">
        <v>7681</v>
      </c>
    </row>
    <row r="13" spans="1:3" x14ac:dyDescent="0.3">
      <c r="A13" s="1" t="s">
        <v>23</v>
      </c>
      <c r="B13" s="1" t="s">
        <v>24</v>
      </c>
      <c r="C13" s="1">
        <v>4331</v>
      </c>
    </row>
    <row r="14" spans="1:3" x14ac:dyDescent="0.3">
      <c r="A14" s="1" t="s">
        <v>25</v>
      </c>
      <c r="B14" s="1" t="s">
        <v>26</v>
      </c>
      <c r="C14" s="1">
        <v>2869</v>
      </c>
    </row>
    <row r="15" spans="1:3" x14ac:dyDescent="0.3">
      <c r="A15" s="1" t="s">
        <v>27</v>
      </c>
      <c r="B15" s="1" t="s">
        <v>28</v>
      </c>
      <c r="C15" s="1">
        <v>9344</v>
      </c>
    </row>
    <row r="16" spans="1:3" x14ac:dyDescent="0.3">
      <c r="A16" s="1" t="s">
        <v>29</v>
      </c>
      <c r="B16" s="1" t="s">
        <v>30</v>
      </c>
      <c r="C16" s="1">
        <v>2379</v>
      </c>
    </row>
    <row r="17" spans="1:3" x14ac:dyDescent="0.3">
      <c r="A17" s="1" t="s">
        <v>31</v>
      </c>
      <c r="B17" s="1" t="s">
        <v>32</v>
      </c>
      <c r="C17" s="1">
        <v>5824</v>
      </c>
    </row>
    <row r="18" spans="1:3" x14ac:dyDescent="0.3">
      <c r="A18" s="1" t="s">
        <v>33</v>
      </c>
      <c r="B18" s="1" t="s">
        <v>34</v>
      </c>
      <c r="C18" s="1">
        <v>6790</v>
      </c>
    </row>
    <row r="19" spans="1:3" x14ac:dyDescent="0.3">
      <c r="A19" s="1" t="s">
        <v>35</v>
      </c>
      <c r="B19" s="1" t="s">
        <v>36</v>
      </c>
      <c r="C19" s="1">
        <v>7978</v>
      </c>
    </row>
    <row r="20" spans="1:3" x14ac:dyDescent="0.3">
      <c r="A20" s="1" t="s">
        <v>37</v>
      </c>
      <c r="B20" s="1" t="s">
        <v>38</v>
      </c>
      <c r="C20" s="1">
        <v>569</v>
      </c>
    </row>
    <row r="21" spans="1:3" x14ac:dyDescent="0.3">
      <c r="A21" s="1" t="s">
        <v>37</v>
      </c>
      <c r="B21" s="1" t="s">
        <v>39</v>
      </c>
      <c r="C21" s="1">
        <v>3530</v>
      </c>
    </row>
    <row r="22" spans="1:3" x14ac:dyDescent="0.3">
      <c r="A22" s="1" t="s">
        <v>40</v>
      </c>
      <c r="B22" s="1" t="s">
        <v>41</v>
      </c>
      <c r="C22" s="1">
        <v>3826</v>
      </c>
    </row>
    <row r="23" spans="1:3" x14ac:dyDescent="0.3">
      <c r="A23" s="1" t="s">
        <v>42</v>
      </c>
      <c r="B23" s="1" t="s">
        <v>43</v>
      </c>
      <c r="C23" s="1">
        <v>9773</v>
      </c>
    </row>
    <row r="24" spans="1:3" x14ac:dyDescent="0.3">
      <c r="A24" s="1" t="s">
        <v>44</v>
      </c>
      <c r="B24" s="1" t="s">
        <v>45</v>
      </c>
      <c r="C24" s="1">
        <v>2524</v>
      </c>
    </row>
    <row r="25" spans="1:3" x14ac:dyDescent="0.3">
      <c r="A25" s="1" t="s">
        <v>46</v>
      </c>
      <c r="B25" s="1" t="s">
        <v>47</v>
      </c>
      <c r="C25" s="1">
        <v>488</v>
      </c>
    </row>
    <row r="26" spans="1:3" x14ac:dyDescent="0.3">
      <c r="A26" s="1" t="s">
        <v>23</v>
      </c>
      <c r="B26" s="1" t="s">
        <v>48</v>
      </c>
      <c r="C26" s="1">
        <v>7593</v>
      </c>
    </row>
    <row r="27" spans="1:3" x14ac:dyDescent="0.3">
      <c r="A27" s="1" t="s">
        <v>49</v>
      </c>
      <c r="B27" s="1" t="s">
        <v>50</v>
      </c>
      <c r="C27" s="1">
        <v>4223</v>
      </c>
    </row>
    <row r="28" spans="1:3" x14ac:dyDescent="0.3">
      <c r="A28" s="1" t="s">
        <v>51</v>
      </c>
      <c r="B28" s="1" t="s">
        <v>52</v>
      </c>
      <c r="C28" s="1">
        <v>7036</v>
      </c>
    </row>
    <row r="29" spans="1:3" x14ac:dyDescent="0.3">
      <c r="A29" s="1" t="s">
        <v>53</v>
      </c>
      <c r="B29" s="1" t="s">
        <v>54</v>
      </c>
      <c r="C29" s="1">
        <v>3791</v>
      </c>
    </row>
    <row r="30" spans="1:3" x14ac:dyDescent="0.3">
      <c r="A30" s="1" t="s">
        <v>55</v>
      </c>
      <c r="B30" s="1" t="s">
        <v>56</v>
      </c>
      <c r="C30" s="1">
        <v>8550</v>
      </c>
    </row>
    <row r="31" spans="1:3" x14ac:dyDescent="0.3">
      <c r="A31" s="1" t="s">
        <v>57</v>
      </c>
      <c r="B31" s="1" t="s">
        <v>58</v>
      </c>
      <c r="C31" s="1">
        <v>7555</v>
      </c>
    </row>
    <row r="32" spans="1:3" x14ac:dyDescent="0.3">
      <c r="A32" s="1" t="s">
        <v>59</v>
      </c>
      <c r="B32" s="1" t="s">
        <v>60</v>
      </c>
      <c r="C32" s="1">
        <v>7162</v>
      </c>
    </row>
    <row r="33" spans="1:3" x14ac:dyDescent="0.3">
      <c r="A33" s="1" t="s">
        <v>61</v>
      </c>
      <c r="B33" s="1" t="s">
        <v>56</v>
      </c>
      <c r="C33" s="1">
        <v>8756</v>
      </c>
    </row>
    <row r="34" spans="1:3" x14ac:dyDescent="0.3">
      <c r="A34" s="1" t="s">
        <v>7</v>
      </c>
      <c r="B34" s="1" t="s">
        <v>62</v>
      </c>
      <c r="C34" s="1">
        <v>7696</v>
      </c>
    </row>
    <row r="35" spans="1:3" x14ac:dyDescent="0.3">
      <c r="A35" s="1" t="s">
        <v>63</v>
      </c>
      <c r="B35" s="1" t="s">
        <v>64</v>
      </c>
      <c r="C35" s="1">
        <v>3149</v>
      </c>
    </row>
    <row r="36" spans="1:3" x14ac:dyDescent="0.3">
      <c r="A36" s="1" t="s">
        <v>35</v>
      </c>
      <c r="B36" s="1" t="s">
        <v>65</v>
      </c>
      <c r="C36" s="1">
        <v>7775</v>
      </c>
    </row>
    <row r="37" spans="1:3" x14ac:dyDescent="0.3">
      <c r="A37" s="1" t="s">
        <v>42</v>
      </c>
      <c r="B37" s="1" t="s">
        <v>66</v>
      </c>
      <c r="C37" s="1">
        <v>5401</v>
      </c>
    </row>
    <row r="38" spans="1:3" x14ac:dyDescent="0.3">
      <c r="A38" s="1" t="s">
        <v>67</v>
      </c>
      <c r="B38" s="1" t="s">
        <v>68</v>
      </c>
      <c r="C38" s="1">
        <v>6349</v>
      </c>
    </row>
    <row r="39" spans="1:3" x14ac:dyDescent="0.3">
      <c r="A39" s="1" t="s">
        <v>69</v>
      </c>
      <c r="B39" s="1" t="s">
        <v>70</v>
      </c>
      <c r="C39" s="1">
        <v>7670</v>
      </c>
    </row>
    <row r="40" spans="1:3" x14ac:dyDescent="0.3">
      <c r="A40" s="1" t="s">
        <v>71</v>
      </c>
      <c r="B40" s="1" t="s">
        <v>72</v>
      </c>
      <c r="C40" s="1">
        <v>325</v>
      </c>
    </row>
    <row r="41" spans="1:3" x14ac:dyDescent="0.3">
      <c r="A41" s="1" t="s">
        <v>5</v>
      </c>
      <c r="B41" s="1" t="s">
        <v>73</v>
      </c>
      <c r="C41" s="1">
        <v>2409</v>
      </c>
    </row>
    <row r="42" spans="1:3" x14ac:dyDescent="0.3">
      <c r="A42" s="1" t="s">
        <v>69</v>
      </c>
      <c r="B42" s="1" t="s">
        <v>74</v>
      </c>
      <c r="C42" s="1">
        <v>4314</v>
      </c>
    </row>
    <row r="43" spans="1:3" x14ac:dyDescent="0.3">
      <c r="A43" s="1" t="s">
        <v>23</v>
      </c>
      <c r="B43" s="1" t="s">
        <v>75</v>
      </c>
      <c r="C43" s="1">
        <v>3856</v>
      </c>
    </row>
    <row r="44" spans="1:3" x14ac:dyDescent="0.3">
      <c r="A44" s="1" t="s">
        <v>27</v>
      </c>
      <c r="B44" s="1" t="s">
        <v>76</v>
      </c>
      <c r="C44" s="1">
        <v>4069</v>
      </c>
    </row>
    <row r="45" spans="1:3" x14ac:dyDescent="0.3">
      <c r="A45" s="1" t="s">
        <v>51</v>
      </c>
      <c r="B45" s="1" t="s">
        <v>77</v>
      </c>
      <c r="C45" s="1">
        <v>5458</v>
      </c>
    </row>
    <row r="46" spans="1:3" x14ac:dyDescent="0.3">
      <c r="A46" s="1" t="s">
        <v>42</v>
      </c>
      <c r="B46" s="1" t="s">
        <v>78</v>
      </c>
      <c r="C46" s="1">
        <v>7407</v>
      </c>
    </row>
    <row r="47" spans="1:3" x14ac:dyDescent="0.3">
      <c r="A47" s="1" t="s">
        <v>79</v>
      </c>
      <c r="B47" s="1" t="s">
        <v>80</v>
      </c>
      <c r="C47" s="1">
        <v>8999</v>
      </c>
    </row>
    <row r="48" spans="1:3" x14ac:dyDescent="0.3">
      <c r="A48" s="1" t="s">
        <v>63</v>
      </c>
      <c r="B48" s="1" t="s">
        <v>81</v>
      </c>
      <c r="C48" s="1">
        <v>1312</v>
      </c>
    </row>
    <row r="49" spans="1:3" x14ac:dyDescent="0.3">
      <c r="A49" s="1" t="s">
        <v>82</v>
      </c>
      <c r="B49" s="1" t="s">
        <v>83</v>
      </c>
      <c r="C49" s="1">
        <v>1875</v>
      </c>
    </row>
    <row r="50" spans="1:3" x14ac:dyDescent="0.3">
      <c r="A50" s="1" t="s">
        <v>51</v>
      </c>
      <c r="B50" s="1" t="s">
        <v>84</v>
      </c>
      <c r="C50" s="1">
        <v>2463</v>
      </c>
    </row>
    <row r="51" spans="1:3" x14ac:dyDescent="0.3">
      <c r="A51" s="1" t="s">
        <v>5</v>
      </c>
      <c r="B51" s="1" t="s">
        <v>85</v>
      </c>
      <c r="C51" s="1">
        <v>2229</v>
      </c>
    </row>
    <row r="52" spans="1:3" x14ac:dyDescent="0.3">
      <c r="A52" s="1" t="s">
        <v>51</v>
      </c>
      <c r="B52" s="1" t="s">
        <v>86</v>
      </c>
      <c r="C52" s="1">
        <v>990</v>
      </c>
    </row>
    <row r="53" spans="1:3" x14ac:dyDescent="0.3">
      <c r="A53" s="1" t="s">
        <v>87</v>
      </c>
      <c r="B53" s="1" t="s">
        <v>88</v>
      </c>
      <c r="C53" s="1">
        <v>6884</v>
      </c>
    </row>
    <row r="54" spans="1:3" x14ac:dyDescent="0.3">
      <c r="A54" s="1" t="s">
        <v>35</v>
      </c>
      <c r="B54" s="1" t="s">
        <v>89</v>
      </c>
      <c r="C54" s="1">
        <v>2366</v>
      </c>
    </row>
    <row r="55" spans="1:3" x14ac:dyDescent="0.3">
      <c r="A55" s="1" t="s">
        <v>9</v>
      </c>
      <c r="B55" s="1" t="s">
        <v>90</v>
      </c>
      <c r="C55" s="1">
        <v>6808</v>
      </c>
    </row>
    <row r="56" spans="1:3" x14ac:dyDescent="0.3">
      <c r="A56" s="1" t="s">
        <v>91</v>
      </c>
      <c r="B56" s="1" t="s">
        <v>92</v>
      </c>
      <c r="C56" s="1">
        <v>1237</v>
      </c>
    </row>
    <row r="57" spans="1:3" x14ac:dyDescent="0.3">
      <c r="A57" s="1" t="s">
        <v>93</v>
      </c>
      <c r="B57" s="1" t="s">
        <v>94</v>
      </c>
      <c r="C57" s="1">
        <v>5530</v>
      </c>
    </row>
    <row r="58" spans="1:3" x14ac:dyDescent="0.3">
      <c r="A58" s="1" t="s">
        <v>20</v>
      </c>
      <c r="B58" s="1" t="s">
        <v>95</v>
      </c>
      <c r="C58" s="1">
        <v>9120</v>
      </c>
    </row>
    <row r="59" spans="1:3" x14ac:dyDescent="0.3">
      <c r="A59" s="1" t="s">
        <v>96</v>
      </c>
      <c r="B59" s="1" t="s">
        <v>97</v>
      </c>
      <c r="C59" s="1">
        <v>3697</v>
      </c>
    </row>
    <row r="60" spans="1:3" x14ac:dyDescent="0.3">
      <c r="A60" s="1" t="s">
        <v>98</v>
      </c>
      <c r="B60" s="1" t="s">
        <v>99</v>
      </c>
      <c r="C60" s="1">
        <v>3564</v>
      </c>
    </row>
    <row r="61" spans="1:3" x14ac:dyDescent="0.3">
      <c r="A61" s="1" t="s">
        <v>25</v>
      </c>
      <c r="B61" s="1" t="s">
        <v>100</v>
      </c>
      <c r="C61" s="1">
        <v>8669</v>
      </c>
    </row>
    <row r="62" spans="1:3" x14ac:dyDescent="0.3">
      <c r="A62" s="1" t="s">
        <v>101</v>
      </c>
      <c r="B62" s="1" t="s">
        <v>102</v>
      </c>
      <c r="C62" s="1">
        <v>4761</v>
      </c>
    </row>
    <row r="63" spans="1:3" x14ac:dyDescent="0.3">
      <c r="A63" s="1" t="s">
        <v>3</v>
      </c>
      <c r="B63" s="1" t="s">
        <v>103</v>
      </c>
      <c r="C63" s="1">
        <v>6842</v>
      </c>
    </row>
    <row r="64" spans="1:3" x14ac:dyDescent="0.3">
      <c r="A64" s="1" t="s">
        <v>44</v>
      </c>
      <c r="B64" s="1" t="s">
        <v>104</v>
      </c>
      <c r="C64" s="1">
        <v>8014</v>
      </c>
    </row>
    <row r="65" spans="1:3" x14ac:dyDescent="0.3">
      <c r="A65" s="1" t="s">
        <v>67</v>
      </c>
      <c r="B65" s="1" t="s">
        <v>105</v>
      </c>
      <c r="C65" s="1">
        <v>6151</v>
      </c>
    </row>
    <row r="66" spans="1:3" x14ac:dyDescent="0.3">
      <c r="A66" s="1" t="s">
        <v>49</v>
      </c>
      <c r="B66" s="1" t="s">
        <v>106</v>
      </c>
      <c r="C66" s="1">
        <v>2097</v>
      </c>
    </row>
    <row r="67" spans="1:3" x14ac:dyDescent="0.3">
      <c r="A67" s="1" t="s">
        <v>15</v>
      </c>
      <c r="B67" s="1" t="s">
        <v>107</v>
      </c>
      <c r="C67" s="1">
        <v>7671</v>
      </c>
    </row>
    <row r="68" spans="1:3" x14ac:dyDescent="0.3">
      <c r="A68" s="1" t="s">
        <v>22</v>
      </c>
      <c r="B68" s="1" t="s">
        <v>108</v>
      </c>
      <c r="C68" s="1">
        <v>1725</v>
      </c>
    </row>
    <row r="69" spans="1:3" x14ac:dyDescent="0.3">
      <c r="A69" s="1" t="s">
        <v>15</v>
      </c>
      <c r="B69" s="1" t="s">
        <v>109</v>
      </c>
      <c r="C69" s="1">
        <v>5645</v>
      </c>
    </row>
    <row r="70" spans="1:3" x14ac:dyDescent="0.3">
      <c r="A70" s="1" t="s">
        <v>3</v>
      </c>
      <c r="B70" s="1" t="s">
        <v>110</v>
      </c>
      <c r="C70" s="1">
        <v>2930</v>
      </c>
    </row>
    <row r="71" spans="1:3" x14ac:dyDescent="0.3">
      <c r="A71" s="1" t="s">
        <v>57</v>
      </c>
      <c r="B71" s="1" t="s">
        <v>111</v>
      </c>
      <c r="C71" s="1">
        <v>8620</v>
      </c>
    </row>
    <row r="72" spans="1:3" x14ac:dyDescent="0.3">
      <c r="A72" s="1" t="s">
        <v>61</v>
      </c>
      <c r="B72" s="1" t="s">
        <v>112</v>
      </c>
      <c r="C72" s="1">
        <v>3747</v>
      </c>
    </row>
    <row r="73" spans="1:3" x14ac:dyDescent="0.3">
      <c r="A73" s="1" t="s">
        <v>91</v>
      </c>
      <c r="B73" s="1" t="s">
        <v>113</v>
      </c>
      <c r="C73" s="1">
        <v>7738</v>
      </c>
    </row>
    <row r="74" spans="1:3" x14ac:dyDescent="0.3">
      <c r="A74" s="1" t="s">
        <v>114</v>
      </c>
      <c r="B74" s="1" t="s">
        <v>16</v>
      </c>
      <c r="C74" s="1">
        <v>5055</v>
      </c>
    </row>
    <row r="75" spans="1:3" x14ac:dyDescent="0.3">
      <c r="A75" s="1" t="s">
        <v>49</v>
      </c>
      <c r="B75" s="1" t="s">
        <v>14</v>
      </c>
      <c r="C75" s="1">
        <v>7805</v>
      </c>
    </row>
    <row r="76" spans="1:3" x14ac:dyDescent="0.3">
      <c r="A76" s="1" t="s">
        <v>25</v>
      </c>
      <c r="B76" s="1" t="s">
        <v>115</v>
      </c>
      <c r="C76" s="1">
        <v>1162</v>
      </c>
    </row>
    <row r="77" spans="1:3" x14ac:dyDescent="0.3">
      <c r="A77" s="1" t="s">
        <v>49</v>
      </c>
      <c r="B77" s="1" t="s">
        <v>116</v>
      </c>
      <c r="C77" s="1">
        <v>8865</v>
      </c>
    </row>
    <row r="78" spans="1:3" x14ac:dyDescent="0.3">
      <c r="A78" s="1" t="s">
        <v>98</v>
      </c>
      <c r="B78" s="1" t="s">
        <v>94</v>
      </c>
      <c r="C78" s="1">
        <v>932</v>
      </c>
    </row>
    <row r="79" spans="1:3" x14ac:dyDescent="0.3">
      <c r="A79" s="1" t="s">
        <v>117</v>
      </c>
      <c r="B79" s="1" t="s">
        <v>118</v>
      </c>
      <c r="C79" s="1">
        <v>7541</v>
      </c>
    </row>
    <row r="80" spans="1:3" x14ac:dyDescent="0.3">
      <c r="A80" s="1" t="s">
        <v>40</v>
      </c>
      <c r="B80" s="1" t="s">
        <v>119</v>
      </c>
      <c r="C80" s="1">
        <v>4256</v>
      </c>
    </row>
    <row r="81" spans="1:3" x14ac:dyDescent="0.3">
      <c r="A81" s="1" t="s">
        <v>120</v>
      </c>
      <c r="B81" s="1" t="s">
        <v>65</v>
      </c>
      <c r="C81" s="1">
        <v>7946</v>
      </c>
    </row>
    <row r="82" spans="1:3" x14ac:dyDescent="0.3">
      <c r="A82" s="1" t="s">
        <v>121</v>
      </c>
      <c r="B82" s="1" t="s">
        <v>122</v>
      </c>
      <c r="C82" s="1">
        <v>3622</v>
      </c>
    </row>
    <row r="83" spans="1:3" x14ac:dyDescent="0.3">
      <c r="A83" s="1" t="s">
        <v>69</v>
      </c>
      <c r="B83" s="1" t="s">
        <v>123</v>
      </c>
      <c r="C83" s="1">
        <v>9027</v>
      </c>
    </row>
    <row r="84" spans="1:3" x14ac:dyDescent="0.3">
      <c r="A84" s="1" t="s">
        <v>23</v>
      </c>
      <c r="B84" s="1" t="s">
        <v>124</v>
      </c>
      <c r="C84" s="1">
        <v>3932</v>
      </c>
    </row>
    <row r="85" spans="1:3" x14ac:dyDescent="0.3">
      <c r="A85" s="1" t="s">
        <v>15</v>
      </c>
      <c r="B85" s="1" t="s">
        <v>125</v>
      </c>
      <c r="C85" s="1">
        <v>7864</v>
      </c>
    </row>
    <row r="86" spans="1:3" x14ac:dyDescent="0.3">
      <c r="A86" s="1" t="s">
        <v>40</v>
      </c>
      <c r="B86" s="1" t="s">
        <v>126</v>
      </c>
      <c r="C86" s="1">
        <v>3288</v>
      </c>
    </row>
    <row r="87" spans="1:3" x14ac:dyDescent="0.3">
      <c r="A87" s="1" t="s">
        <v>63</v>
      </c>
      <c r="B87" s="1" t="s">
        <v>127</v>
      </c>
      <c r="C87" s="1">
        <v>4690</v>
      </c>
    </row>
    <row r="88" spans="1:3" x14ac:dyDescent="0.3">
      <c r="A88" s="1" t="s">
        <v>128</v>
      </c>
      <c r="B88" s="1" t="s">
        <v>129</v>
      </c>
      <c r="C88" s="1">
        <v>9052</v>
      </c>
    </row>
    <row r="89" spans="1:3" x14ac:dyDescent="0.3">
      <c r="A89" s="1" t="s">
        <v>31</v>
      </c>
      <c r="B89" s="1" t="s">
        <v>130</v>
      </c>
      <c r="C89" s="1">
        <v>3459</v>
      </c>
    </row>
    <row r="90" spans="1:3" x14ac:dyDescent="0.3">
      <c r="A90" s="1" t="s">
        <v>61</v>
      </c>
      <c r="B90" s="1" t="s">
        <v>131</v>
      </c>
      <c r="C90" s="1">
        <v>8940</v>
      </c>
    </row>
    <row r="91" spans="1:3" x14ac:dyDescent="0.3">
      <c r="A91" s="1" t="s">
        <v>87</v>
      </c>
      <c r="B91" s="1" t="s">
        <v>132</v>
      </c>
      <c r="C91" s="1">
        <v>9133</v>
      </c>
    </row>
    <row r="92" spans="1:3" x14ac:dyDescent="0.3">
      <c r="A92" s="1" t="s">
        <v>87</v>
      </c>
      <c r="B92" s="1" t="s">
        <v>133</v>
      </c>
      <c r="C92" s="1">
        <v>3500</v>
      </c>
    </row>
    <row r="93" spans="1:3" x14ac:dyDescent="0.3">
      <c r="A93" s="1" t="s">
        <v>134</v>
      </c>
      <c r="B93" s="1" t="s">
        <v>77</v>
      </c>
      <c r="C93" s="1">
        <v>5443</v>
      </c>
    </row>
    <row r="94" spans="1:3" x14ac:dyDescent="0.3">
      <c r="A94" s="1" t="s">
        <v>13</v>
      </c>
      <c r="B94" s="1" t="s">
        <v>135</v>
      </c>
      <c r="C94" s="1">
        <v>5100</v>
      </c>
    </row>
    <row r="95" spans="1:3" x14ac:dyDescent="0.3">
      <c r="A95" s="1" t="s">
        <v>121</v>
      </c>
      <c r="B95" s="1" t="s">
        <v>26</v>
      </c>
      <c r="C95" s="1">
        <v>3286</v>
      </c>
    </row>
    <row r="96" spans="1:3" x14ac:dyDescent="0.3">
      <c r="A96" s="1" t="s">
        <v>35</v>
      </c>
      <c r="B96" s="1" t="s">
        <v>100</v>
      </c>
      <c r="C96" s="1">
        <v>9083</v>
      </c>
    </row>
    <row r="97" spans="1:3" x14ac:dyDescent="0.3">
      <c r="A97" s="1" t="s">
        <v>55</v>
      </c>
      <c r="B97" s="1" t="s">
        <v>115</v>
      </c>
      <c r="C97" s="1">
        <v>3430</v>
      </c>
    </row>
    <row r="98" spans="1:3" x14ac:dyDescent="0.3">
      <c r="A98" s="1" t="s">
        <v>42</v>
      </c>
      <c r="B98" s="1" t="s">
        <v>136</v>
      </c>
      <c r="C98" s="1">
        <v>574</v>
      </c>
    </row>
    <row r="99" spans="1:3" x14ac:dyDescent="0.3">
      <c r="A99" s="1" t="s">
        <v>35</v>
      </c>
      <c r="B99" s="1" t="s">
        <v>107</v>
      </c>
      <c r="C99" s="1">
        <v>8880</v>
      </c>
    </row>
    <row r="100" spans="1:3" x14ac:dyDescent="0.3">
      <c r="A100" s="1" t="s">
        <v>101</v>
      </c>
      <c r="B100" s="1" t="s">
        <v>12</v>
      </c>
      <c r="C100" s="1">
        <v>3415</v>
      </c>
    </row>
    <row r="101" spans="1:3" x14ac:dyDescent="0.3">
      <c r="A101" s="1" t="s">
        <v>137</v>
      </c>
      <c r="B101" s="1" t="s">
        <v>138</v>
      </c>
      <c r="C101" s="1">
        <v>8450</v>
      </c>
    </row>
    <row r="102" spans="1:3" x14ac:dyDescent="0.3">
      <c r="A102" s="1" t="s">
        <v>87</v>
      </c>
      <c r="B102" s="1" t="s">
        <v>139</v>
      </c>
      <c r="C102" s="1">
        <v>9802</v>
      </c>
    </row>
    <row r="103" spans="1:3" x14ac:dyDescent="0.3">
      <c r="A103" s="1" t="s">
        <v>23</v>
      </c>
      <c r="B103" s="1" t="s">
        <v>140</v>
      </c>
      <c r="C103" s="1">
        <v>5807</v>
      </c>
    </row>
    <row r="104" spans="1:3" x14ac:dyDescent="0.3">
      <c r="A104" s="1" t="s">
        <v>31</v>
      </c>
      <c r="B104" s="1" t="s">
        <v>141</v>
      </c>
      <c r="C104" s="1">
        <v>1541</v>
      </c>
    </row>
    <row r="105" spans="1:3" x14ac:dyDescent="0.3">
      <c r="A105" s="1" t="s">
        <v>82</v>
      </c>
      <c r="B105" s="1" t="s">
        <v>142</v>
      </c>
      <c r="C105" s="1">
        <v>1601</v>
      </c>
    </row>
    <row r="106" spans="1:3" x14ac:dyDescent="0.3">
      <c r="A106" s="1" t="s">
        <v>53</v>
      </c>
      <c r="B106" s="1" t="s">
        <v>143</v>
      </c>
      <c r="C106" s="1">
        <v>6876</v>
      </c>
    </row>
    <row r="107" spans="1:3" x14ac:dyDescent="0.3">
      <c r="A107" s="1" t="s">
        <v>91</v>
      </c>
      <c r="B107" s="1" t="s">
        <v>144</v>
      </c>
      <c r="C107" s="1">
        <v>2930</v>
      </c>
    </row>
    <row r="108" spans="1:3" x14ac:dyDescent="0.3">
      <c r="A108" s="1" t="s">
        <v>51</v>
      </c>
      <c r="B108" s="1" t="s">
        <v>145</v>
      </c>
      <c r="C108" s="1">
        <v>8746</v>
      </c>
    </row>
    <row r="109" spans="1:3" x14ac:dyDescent="0.3">
      <c r="A109" s="1" t="s">
        <v>117</v>
      </c>
      <c r="B109" s="1" t="s">
        <v>146</v>
      </c>
      <c r="C109" s="1">
        <v>7361</v>
      </c>
    </row>
    <row r="110" spans="1:3" x14ac:dyDescent="0.3">
      <c r="A110" s="1" t="s">
        <v>147</v>
      </c>
      <c r="B110" s="1" t="s">
        <v>148</v>
      </c>
      <c r="C110" s="1">
        <v>9243</v>
      </c>
    </row>
    <row r="111" spans="1:3" x14ac:dyDescent="0.3">
      <c r="A111" s="1" t="s">
        <v>22</v>
      </c>
      <c r="B111" s="1" t="s">
        <v>112</v>
      </c>
      <c r="C111" s="1">
        <v>3882</v>
      </c>
    </row>
    <row r="112" spans="1:3" x14ac:dyDescent="0.3">
      <c r="A112" s="1" t="s">
        <v>25</v>
      </c>
      <c r="B112" s="1" t="s">
        <v>149</v>
      </c>
      <c r="C112" s="1">
        <v>1036</v>
      </c>
    </row>
    <row r="113" spans="1:3" x14ac:dyDescent="0.3">
      <c r="A113" s="1" t="s">
        <v>53</v>
      </c>
      <c r="B113" s="1" t="s">
        <v>150</v>
      </c>
      <c r="C113" s="1">
        <v>5646</v>
      </c>
    </row>
    <row r="114" spans="1:3" x14ac:dyDescent="0.3">
      <c r="A114" s="1" t="s">
        <v>11</v>
      </c>
      <c r="B114" s="1" t="s">
        <v>54</v>
      </c>
      <c r="C114" s="1">
        <v>756</v>
      </c>
    </row>
    <row r="115" spans="1:3" x14ac:dyDescent="0.3">
      <c r="A115" s="1" t="s">
        <v>29</v>
      </c>
      <c r="B115" s="1" t="s">
        <v>135</v>
      </c>
      <c r="C115" s="1">
        <v>4367</v>
      </c>
    </row>
    <row r="116" spans="1:3" x14ac:dyDescent="0.3">
      <c r="A116" s="1" t="s">
        <v>71</v>
      </c>
      <c r="B116" s="1" t="s">
        <v>151</v>
      </c>
      <c r="C116" s="1">
        <v>8121</v>
      </c>
    </row>
    <row r="117" spans="1:3" x14ac:dyDescent="0.3">
      <c r="A117" s="1" t="s">
        <v>67</v>
      </c>
      <c r="B117" s="1" t="s">
        <v>109</v>
      </c>
      <c r="C117" s="1">
        <v>3939</v>
      </c>
    </row>
    <row r="118" spans="1:3" x14ac:dyDescent="0.3">
      <c r="A118" s="1" t="s">
        <v>96</v>
      </c>
      <c r="B118" s="1" t="s">
        <v>152</v>
      </c>
      <c r="C118" s="1">
        <v>4005</v>
      </c>
    </row>
    <row r="119" spans="1:3" x14ac:dyDescent="0.3">
      <c r="A119" s="1" t="s">
        <v>121</v>
      </c>
      <c r="B119" s="1" t="s">
        <v>153</v>
      </c>
      <c r="C119" s="1">
        <v>7011</v>
      </c>
    </row>
    <row r="120" spans="1:3" x14ac:dyDescent="0.3">
      <c r="A120" s="1" t="s">
        <v>114</v>
      </c>
      <c r="B120" s="1" t="s">
        <v>154</v>
      </c>
      <c r="C120" s="1">
        <v>5453</v>
      </c>
    </row>
    <row r="121" spans="1:3" x14ac:dyDescent="0.3">
      <c r="A121" s="1" t="s">
        <v>101</v>
      </c>
      <c r="B121" s="1" t="s">
        <v>155</v>
      </c>
      <c r="C121" s="1">
        <v>5229</v>
      </c>
    </row>
    <row r="122" spans="1:3" x14ac:dyDescent="0.3">
      <c r="A122" s="1" t="s">
        <v>29</v>
      </c>
      <c r="B122" s="1" t="s">
        <v>156</v>
      </c>
      <c r="C122" s="1">
        <v>6983</v>
      </c>
    </row>
    <row r="123" spans="1:3" x14ac:dyDescent="0.3">
      <c r="A123" s="1" t="s">
        <v>53</v>
      </c>
      <c r="B123" s="1" t="s">
        <v>104</v>
      </c>
      <c r="C123" s="1">
        <v>767</v>
      </c>
    </row>
    <row r="124" spans="1:3" x14ac:dyDescent="0.3">
      <c r="A124" s="1" t="s">
        <v>29</v>
      </c>
      <c r="B124" s="1" t="s">
        <v>157</v>
      </c>
      <c r="C124" s="1">
        <v>6138</v>
      </c>
    </row>
    <row r="125" spans="1:3" x14ac:dyDescent="0.3">
      <c r="A125" s="1" t="s">
        <v>93</v>
      </c>
      <c r="B125" s="1" t="s">
        <v>43</v>
      </c>
      <c r="C125" s="1">
        <v>4639</v>
      </c>
    </row>
    <row r="126" spans="1:3" x14ac:dyDescent="0.3">
      <c r="A126" s="1" t="s">
        <v>98</v>
      </c>
      <c r="B126" s="1" t="s">
        <v>158</v>
      </c>
      <c r="C126" s="1">
        <v>2063</v>
      </c>
    </row>
    <row r="127" spans="1:3" x14ac:dyDescent="0.3">
      <c r="A127" s="1" t="s">
        <v>31</v>
      </c>
      <c r="B127" s="1" t="s">
        <v>159</v>
      </c>
      <c r="C127" s="1">
        <v>2054</v>
      </c>
    </row>
    <row r="128" spans="1:3" x14ac:dyDescent="0.3">
      <c r="A128" s="1" t="s">
        <v>121</v>
      </c>
      <c r="B128" s="1" t="s">
        <v>160</v>
      </c>
      <c r="C128" s="1">
        <v>4800</v>
      </c>
    </row>
    <row r="129" spans="1:3" x14ac:dyDescent="0.3">
      <c r="A129" s="1" t="s">
        <v>69</v>
      </c>
      <c r="B129" s="1" t="s">
        <v>161</v>
      </c>
      <c r="C129" s="1">
        <v>1747</v>
      </c>
    </row>
    <row r="130" spans="1:3" x14ac:dyDescent="0.3">
      <c r="A130" s="1" t="s">
        <v>40</v>
      </c>
      <c r="B130" s="1" t="s">
        <v>162</v>
      </c>
      <c r="C130" s="1">
        <v>7628</v>
      </c>
    </row>
    <row r="131" spans="1:3" x14ac:dyDescent="0.3">
      <c r="A131" s="1" t="s">
        <v>49</v>
      </c>
      <c r="B131" s="1" t="s">
        <v>163</v>
      </c>
      <c r="C131" s="1">
        <v>6659</v>
      </c>
    </row>
    <row r="132" spans="1:3" x14ac:dyDescent="0.3">
      <c r="A132" s="1" t="s">
        <v>15</v>
      </c>
      <c r="B132" s="1" t="s">
        <v>164</v>
      </c>
      <c r="C132" s="1">
        <v>3402</v>
      </c>
    </row>
    <row r="133" spans="1:3" x14ac:dyDescent="0.3">
      <c r="A133" s="1" t="s">
        <v>59</v>
      </c>
      <c r="B133" s="1" t="s">
        <v>165</v>
      </c>
      <c r="C133" s="1">
        <v>5230</v>
      </c>
    </row>
    <row r="134" spans="1:3" x14ac:dyDescent="0.3">
      <c r="A134" s="1" t="s">
        <v>25</v>
      </c>
      <c r="B134" s="1" t="s">
        <v>166</v>
      </c>
      <c r="C134" s="1">
        <v>1361</v>
      </c>
    </row>
    <row r="135" spans="1:3" x14ac:dyDescent="0.3">
      <c r="A135" s="1" t="s">
        <v>5</v>
      </c>
      <c r="B135" s="1" t="s">
        <v>167</v>
      </c>
      <c r="C135" s="1">
        <v>2272</v>
      </c>
    </row>
    <row r="136" spans="1:3" x14ac:dyDescent="0.3">
      <c r="A136" s="1" t="s">
        <v>96</v>
      </c>
      <c r="B136" s="1" t="s">
        <v>14</v>
      </c>
      <c r="C136" s="1">
        <v>5239</v>
      </c>
    </row>
    <row r="137" spans="1:3" x14ac:dyDescent="0.3">
      <c r="A137" s="1" t="s">
        <v>137</v>
      </c>
      <c r="B137" s="1" t="s">
        <v>168</v>
      </c>
      <c r="C137" s="1">
        <v>4735</v>
      </c>
    </row>
    <row r="138" spans="1:3" x14ac:dyDescent="0.3">
      <c r="A138" s="1" t="s">
        <v>169</v>
      </c>
      <c r="B138" s="1" t="s">
        <v>170</v>
      </c>
      <c r="C138" s="1">
        <v>5477</v>
      </c>
    </row>
    <row r="139" spans="1:3" x14ac:dyDescent="0.3">
      <c r="A139" s="1" t="s">
        <v>59</v>
      </c>
      <c r="B139" s="1" t="s">
        <v>171</v>
      </c>
      <c r="C139" s="1">
        <v>2613</v>
      </c>
    </row>
    <row r="140" spans="1:3" x14ac:dyDescent="0.3">
      <c r="A140" s="1" t="s">
        <v>69</v>
      </c>
      <c r="B140" s="1" t="s">
        <v>172</v>
      </c>
      <c r="C140" s="1">
        <v>9150</v>
      </c>
    </row>
    <row r="141" spans="1:3" x14ac:dyDescent="0.3">
      <c r="A141" s="1" t="s">
        <v>29</v>
      </c>
      <c r="B141" s="1" t="s">
        <v>60</v>
      </c>
      <c r="C141" s="1">
        <v>8791</v>
      </c>
    </row>
    <row r="142" spans="1:3" x14ac:dyDescent="0.3">
      <c r="A142" s="1" t="s">
        <v>3</v>
      </c>
      <c r="B142" s="1" t="s">
        <v>173</v>
      </c>
      <c r="C142" s="1">
        <v>2908</v>
      </c>
    </row>
    <row r="143" spans="1:3" x14ac:dyDescent="0.3">
      <c r="A143" s="1" t="s">
        <v>67</v>
      </c>
      <c r="B143" s="1" t="s">
        <v>174</v>
      </c>
      <c r="C143" s="1">
        <v>9249</v>
      </c>
    </row>
    <row r="144" spans="1:3" x14ac:dyDescent="0.3">
      <c r="A144" s="1" t="s">
        <v>169</v>
      </c>
      <c r="B144" s="1" t="s">
        <v>175</v>
      </c>
      <c r="C144" s="1">
        <v>3764</v>
      </c>
    </row>
    <row r="145" spans="1:3" x14ac:dyDescent="0.3">
      <c r="A145" s="1" t="s">
        <v>7</v>
      </c>
      <c r="B145" s="1" t="s">
        <v>176</v>
      </c>
      <c r="C145" s="1">
        <v>7511</v>
      </c>
    </row>
    <row r="146" spans="1:3" x14ac:dyDescent="0.3">
      <c r="A146" s="1" t="s">
        <v>177</v>
      </c>
      <c r="B146" s="1" t="s">
        <v>65</v>
      </c>
      <c r="C146" s="1">
        <v>3135</v>
      </c>
    </row>
    <row r="147" spans="1:3" x14ac:dyDescent="0.3">
      <c r="A147" s="1" t="s">
        <v>134</v>
      </c>
      <c r="B147" s="1" t="s">
        <v>178</v>
      </c>
      <c r="C147" s="1">
        <v>3157</v>
      </c>
    </row>
    <row r="148" spans="1:3" x14ac:dyDescent="0.3">
      <c r="A148" s="1" t="s">
        <v>29</v>
      </c>
      <c r="B148" s="1" t="s">
        <v>170</v>
      </c>
      <c r="C148" s="1">
        <v>7781</v>
      </c>
    </row>
    <row r="149" spans="1:3" x14ac:dyDescent="0.3">
      <c r="A149" s="1" t="s">
        <v>121</v>
      </c>
      <c r="B149" s="1" t="s">
        <v>97</v>
      </c>
      <c r="C149" s="1">
        <v>2210</v>
      </c>
    </row>
    <row r="150" spans="1:3" x14ac:dyDescent="0.3">
      <c r="A150" s="1" t="s">
        <v>121</v>
      </c>
      <c r="B150" s="1" t="s">
        <v>179</v>
      </c>
      <c r="C150" s="1">
        <v>2339</v>
      </c>
    </row>
    <row r="151" spans="1:3" x14ac:dyDescent="0.3">
      <c r="A151" s="1" t="s">
        <v>29</v>
      </c>
      <c r="B151" s="1" t="s">
        <v>180</v>
      </c>
      <c r="C151" s="1">
        <v>1962</v>
      </c>
    </row>
    <row r="152" spans="1:3" x14ac:dyDescent="0.3">
      <c r="A152" s="1" t="s">
        <v>27</v>
      </c>
      <c r="B152" s="1" t="s">
        <v>181</v>
      </c>
      <c r="C152" s="1">
        <v>497</v>
      </c>
    </row>
    <row r="153" spans="1:3" x14ac:dyDescent="0.3">
      <c r="A153" s="1" t="s">
        <v>134</v>
      </c>
      <c r="B153" s="1" t="s">
        <v>152</v>
      </c>
      <c r="C153" s="1">
        <v>4804</v>
      </c>
    </row>
    <row r="154" spans="1:3" x14ac:dyDescent="0.3">
      <c r="A154" s="1" t="s">
        <v>182</v>
      </c>
      <c r="B154" s="1" t="s">
        <v>77</v>
      </c>
      <c r="C154" s="1">
        <v>4639</v>
      </c>
    </row>
    <row r="155" spans="1:3" x14ac:dyDescent="0.3">
      <c r="A155" s="1" t="s">
        <v>134</v>
      </c>
      <c r="B155" s="1" t="s">
        <v>113</v>
      </c>
      <c r="C155" s="1">
        <v>572</v>
      </c>
    </row>
    <row r="156" spans="1:3" x14ac:dyDescent="0.3">
      <c r="A156" s="1" t="s">
        <v>134</v>
      </c>
      <c r="B156" s="1" t="s">
        <v>183</v>
      </c>
      <c r="C156" s="1">
        <v>1278</v>
      </c>
    </row>
    <row r="157" spans="1:3" x14ac:dyDescent="0.3">
      <c r="A157" s="1" t="s">
        <v>120</v>
      </c>
      <c r="B157" s="1" t="s">
        <v>184</v>
      </c>
      <c r="C157" s="1">
        <v>1739</v>
      </c>
    </row>
    <row r="158" spans="1:3" x14ac:dyDescent="0.3">
      <c r="A158" s="1" t="s">
        <v>93</v>
      </c>
      <c r="B158" s="1" t="s">
        <v>179</v>
      </c>
      <c r="C158" s="1">
        <v>8348</v>
      </c>
    </row>
    <row r="159" spans="1:3" x14ac:dyDescent="0.3">
      <c r="A159" s="1" t="s">
        <v>35</v>
      </c>
      <c r="B159" s="1" t="s">
        <v>185</v>
      </c>
      <c r="C159" s="1">
        <v>3160</v>
      </c>
    </row>
    <row r="160" spans="1:3" x14ac:dyDescent="0.3">
      <c r="A160" s="1" t="s">
        <v>67</v>
      </c>
      <c r="B160" s="1" t="s">
        <v>58</v>
      </c>
      <c r="C160" s="1">
        <v>7412</v>
      </c>
    </row>
    <row r="161" spans="1:3" x14ac:dyDescent="0.3">
      <c r="A161" s="1" t="s">
        <v>186</v>
      </c>
      <c r="B161" s="1" t="s">
        <v>131</v>
      </c>
      <c r="C161" s="1">
        <v>4653</v>
      </c>
    </row>
    <row r="162" spans="1:3" x14ac:dyDescent="0.3">
      <c r="A162" s="1" t="s">
        <v>187</v>
      </c>
      <c r="B162" s="1" t="s">
        <v>188</v>
      </c>
      <c r="C162" s="1">
        <v>9699</v>
      </c>
    </row>
    <row r="163" spans="1:3" x14ac:dyDescent="0.3">
      <c r="A163" s="1" t="s">
        <v>79</v>
      </c>
      <c r="B163" s="1" t="s">
        <v>189</v>
      </c>
      <c r="C163" s="1">
        <v>9667</v>
      </c>
    </row>
    <row r="164" spans="1:3" x14ac:dyDescent="0.3">
      <c r="A164" s="1" t="s">
        <v>128</v>
      </c>
      <c r="B164" s="1" t="s">
        <v>157</v>
      </c>
      <c r="C164" s="1">
        <v>6149</v>
      </c>
    </row>
    <row r="165" spans="1:3" x14ac:dyDescent="0.3">
      <c r="A165" s="1" t="s">
        <v>190</v>
      </c>
      <c r="B165" s="1" t="s">
        <v>191</v>
      </c>
      <c r="C165" s="1">
        <v>7403</v>
      </c>
    </row>
    <row r="166" spans="1:3" x14ac:dyDescent="0.3">
      <c r="A166" s="1" t="s">
        <v>53</v>
      </c>
      <c r="B166" s="1" t="s">
        <v>16</v>
      </c>
      <c r="C166" s="1">
        <v>691</v>
      </c>
    </row>
    <row r="167" spans="1:3" x14ac:dyDescent="0.3">
      <c r="A167" s="1" t="s">
        <v>71</v>
      </c>
      <c r="B167" s="1" t="s">
        <v>175</v>
      </c>
      <c r="C167" s="1">
        <v>3773</v>
      </c>
    </row>
    <row r="168" spans="1:3" x14ac:dyDescent="0.3">
      <c r="A168" s="1" t="s">
        <v>192</v>
      </c>
      <c r="B168" s="1" t="s">
        <v>193</v>
      </c>
      <c r="C168" s="1">
        <v>8200</v>
      </c>
    </row>
    <row r="169" spans="1:3" x14ac:dyDescent="0.3">
      <c r="A169" s="1" t="s">
        <v>15</v>
      </c>
      <c r="B169" s="1" t="s">
        <v>194</v>
      </c>
      <c r="C169" s="1">
        <v>8618</v>
      </c>
    </row>
    <row r="170" spans="1:3" x14ac:dyDescent="0.3">
      <c r="A170" s="1" t="s">
        <v>59</v>
      </c>
      <c r="B170" s="1" t="s">
        <v>195</v>
      </c>
      <c r="C170" s="1">
        <v>3822</v>
      </c>
    </row>
    <row r="171" spans="1:3" x14ac:dyDescent="0.3">
      <c r="A171" s="1" t="s">
        <v>192</v>
      </c>
      <c r="B171" s="1" t="s">
        <v>196</v>
      </c>
      <c r="C171" s="1">
        <v>8840</v>
      </c>
    </row>
    <row r="172" spans="1:3" x14ac:dyDescent="0.3">
      <c r="A172" s="1" t="s">
        <v>5</v>
      </c>
      <c r="B172" s="1" t="s">
        <v>167</v>
      </c>
      <c r="C172" s="1">
        <v>5357</v>
      </c>
    </row>
    <row r="173" spans="1:3" x14ac:dyDescent="0.3">
      <c r="A173" s="1" t="s">
        <v>53</v>
      </c>
      <c r="B173" s="1" t="s">
        <v>197</v>
      </c>
      <c r="C173" s="1">
        <v>3268</v>
      </c>
    </row>
    <row r="174" spans="1:3" x14ac:dyDescent="0.3">
      <c r="A174" s="1" t="s">
        <v>101</v>
      </c>
      <c r="B174" s="1" t="s">
        <v>198</v>
      </c>
      <c r="C174" s="1">
        <v>3941</v>
      </c>
    </row>
    <row r="175" spans="1:3" x14ac:dyDescent="0.3">
      <c r="A175" s="1" t="s">
        <v>63</v>
      </c>
      <c r="B175" s="1" t="s">
        <v>199</v>
      </c>
      <c r="C175" s="1">
        <v>9726</v>
      </c>
    </row>
    <row r="176" spans="1:3" x14ac:dyDescent="0.3">
      <c r="A176" s="1" t="s">
        <v>182</v>
      </c>
      <c r="B176" s="1" t="s">
        <v>45</v>
      </c>
      <c r="C176" s="1">
        <v>3237</v>
      </c>
    </row>
    <row r="177" spans="1:3" x14ac:dyDescent="0.3">
      <c r="A177" s="1" t="s">
        <v>33</v>
      </c>
      <c r="B177" s="1" t="s">
        <v>200</v>
      </c>
      <c r="C177" s="1">
        <v>7106</v>
      </c>
    </row>
    <row r="178" spans="1:3" x14ac:dyDescent="0.3">
      <c r="A178" s="1" t="s">
        <v>187</v>
      </c>
      <c r="B178" s="1" t="s">
        <v>201</v>
      </c>
      <c r="C178" s="1">
        <v>366</v>
      </c>
    </row>
    <row r="179" spans="1:3" x14ac:dyDescent="0.3">
      <c r="A179" s="1" t="s">
        <v>40</v>
      </c>
      <c r="B179" s="1" t="s">
        <v>193</v>
      </c>
      <c r="C179" s="1">
        <v>8129</v>
      </c>
    </row>
    <row r="180" spans="1:3" x14ac:dyDescent="0.3">
      <c r="A180" s="1" t="s">
        <v>71</v>
      </c>
      <c r="B180" s="1" t="s">
        <v>202</v>
      </c>
      <c r="C180" s="1">
        <v>7735</v>
      </c>
    </row>
    <row r="181" spans="1:3" x14ac:dyDescent="0.3">
      <c r="A181" s="1" t="s">
        <v>42</v>
      </c>
      <c r="B181" s="1" t="s">
        <v>167</v>
      </c>
      <c r="C181" s="1">
        <v>5698</v>
      </c>
    </row>
    <row r="182" spans="1:3" x14ac:dyDescent="0.3">
      <c r="A182" s="1" t="s">
        <v>9</v>
      </c>
      <c r="B182" s="1" t="s">
        <v>16</v>
      </c>
      <c r="C182" s="1">
        <v>5813</v>
      </c>
    </row>
    <row r="183" spans="1:3" x14ac:dyDescent="0.3">
      <c r="A183" s="1" t="s">
        <v>42</v>
      </c>
      <c r="B183" s="1" t="s">
        <v>156</v>
      </c>
      <c r="C183" s="1">
        <v>3367</v>
      </c>
    </row>
    <row r="184" spans="1:3" x14ac:dyDescent="0.3">
      <c r="A184" s="1" t="s">
        <v>17</v>
      </c>
      <c r="B184" s="1" t="s">
        <v>203</v>
      </c>
      <c r="C184" s="1">
        <v>2754</v>
      </c>
    </row>
    <row r="185" spans="1:3" x14ac:dyDescent="0.3">
      <c r="A185" s="1" t="s">
        <v>40</v>
      </c>
      <c r="B185" s="1" t="s">
        <v>141</v>
      </c>
      <c r="C185" s="1">
        <v>2418</v>
      </c>
    </row>
    <row r="186" spans="1:3" x14ac:dyDescent="0.3">
      <c r="A186" s="1" t="s">
        <v>79</v>
      </c>
      <c r="B186" s="1" t="s">
        <v>204</v>
      </c>
      <c r="C186" s="1">
        <v>9080</v>
      </c>
    </row>
    <row r="187" spans="1:3" x14ac:dyDescent="0.3">
      <c r="A187" s="1" t="s">
        <v>46</v>
      </c>
      <c r="B187" s="1" t="s">
        <v>205</v>
      </c>
      <c r="C187" s="1">
        <v>9441</v>
      </c>
    </row>
    <row r="188" spans="1:3" x14ac:dyDescent="0.3">
      <c r="A188" s="1" t="s">
        <v>134</v>
      </c>
      <c r="B188" s="1" t="s">
        <v>206</v>
      </c>
      <c r="C188" s="1">
        <v>3285</v>
      </c>
    </row>
    <row r="189" spans="1:3" x14ac:dyDescent="0.3">
      <c r="A189" s="1" t="s">
        <v>79</v>
      </c>
      <c r="B189" s="1" t="s">
        <v>207</v>
      </c>
      <c r="C189" s="1">
        <v>5515</v>
      </c>
    </row>
    <row r="190" spans="1:3" x14ac:dyDescent="0.3">
      <c r="A190" s="1" t="s">
        <v>44</v>
      </c>
      <c r="B190" s="1" t="s">
        <v>208</v>
      </c>
      <c r="C190" s="1">
        <v>7972</v>
      </c>
    </row>
    <row r="191" spans="1:3" x14ac:dyDescent="0.3">
      <c r="A191" s="1" t="s">
        <v>5</v>
      </c>
      <c r="B191" s="1" t="s">
        <v>209</v>
      </c>
      <c r="C191" s="1">
        <v>3307</v>
      </c>
    </row>
    <row r="192" spans="1:3" x14ac:dyDescent="0.3">
      <c r="A192" s="1" t="s">
        <v>35</v>
      </c>
      <c r="B192" s="1" t="s">
        <v>210</v>
      </c>
      <c r="C192" s="1">
        <v>8915</v>
      </c>
    </row>
    <row r="193" spans="1:3" x14ac:dyDescent="0.3">
      <c r="A193" s="1" t="s">
        <v>27</v>
      </c>
      <c r="B193" s="1" t="s">
        <v>211</v>
      </c>
      <c r="C193" s="1">
        <v>2632</v>
      </c>
    </row>
    <row r="194" spans="1:3" x14ac:dyDescent="0.3">
      <c r="A194" s="1" t="s">
        <v>128</v>
      </c>
      <c r="B194" s="1" t="s">
        <v>212</v>
      </c>
      <c r="C194" s="1">
        <v>8103</v>
      </c>
    </row>
    <row r="195" spans="1:3" x14ac:dyDescent="0.3">
      <c r="A195" s="1" t="s">
        <v>25</v>
      </c>
      <c r="B195" s="1" t="s">
        <v>180</v>
      </c>
      <c r="C195" s="1">
        <v>724</v>
      </c>
    </row>
    <row r="196" spans="1:3" x14ac:dyDescent="0.3">
      <c r="A196" s="1" t="s">
        <v>15</v>
      </c>
      <c r="B196" s="1" t="s">
        <v>213</v>
      </c>
      <c r="C196" s="1">
        <v>9949</v>
      </c>
    </row>
    <row r="197" spans="1:3" x14ac:dyDescent="0.3">
      <c r="A197" s="1" t="s">
        <v>23</v>
      </c>
      <c r="B197" s="1" t="s">
        <v>214</v>
      </c>
      <c r="C197" s="1">
        <v>2685</v>
      </c>
    </row>
    <row r="198" spans="1:3" x14ac:dyDescent="0.3">
      <c r="A198" s="1" t="s">
        <v>29</v>
      </c>
      <c r="B198" s="1" t="s">
        <v>215</v>
      </c>
      <c r="C198" s="1">
        <v>824</v>
      </c>
    </row>
    <row r="199" spans="1:3" x14ac:dyDescent="0.3">
      <c r="A199" s="1" t="s">
        <v>9</v>
      </c>
      <c r="B199" s="1" t="s">
        <v>216</v>
      </c>
      <c r="C199" s="1">
        <v>557</v>
      </c>
    </row>
    <row r="200" spans="1:3" x14ac:dyDescent="0.3">
      <c r="A200" s="1" t="s">
        <v>46</v>
      </c>
      <c r="B200" s="1" t="s">
        <v>207</v>
      </c>
      <c r="C200" s="1">
        <v>1888</v>
      </c>
    </row>
    <row r="201" spans="1:3" x14ac:dyDescent="0.3">
      <c r="A201" s="1" t="s">
        <v>137</v>
      </c>
      <c r="B201" s="1" t="s">
        <v>172</v>
      </c>
      <c r="C201" s="1">
        <v>8356</v>
      </c>
    </row>
    <row r="202" spans="1:3" x14ac:dyDescent="0.3">
      <c r="A202" s="1" t="s">
        <v>217</v>
      </c>
      <c r="B202" s="1" t="s">
        <v>218</v>
      </c>
      <c r="C202" s="1">
        <v>7266</v>
      </c>
    </row>
    <row r="203" spans="1:3" x14ac:dyDescent="0.3">
      <c r="A203" s="1" t="s">
        <v>51</v>
      </c>
      <c r="B203" s="1" t="s">
        <v>219</v>
      </c>
      <c r="C203" s="1">
        <v>5179</v>
      </c>
    </row>
    <row r="204" spans="1:3" x14ac:dyDescent="0.3">
      <c r="A204" s="1" t="s">
        <v>69</v>
      </c>
      <c r="B204" s="1" t="s">
        <v>220</v>
      </c>
      <c r="C204" s="1">
        <v>7358</v>
      </c>
    </row>
    <row r="205" spans="1:3" x14ac:dyDescent="0.3">
      <c r="A205" s="1" t="s">
        <v>15</v>
      </c>
      <c r="B205" s="1" t="s">
        <v>21</v>
      </c>
      <c r="C205" s="1">
        <v>7304</v>
      </c>
    </row>
    <row r="206" spans="1:3" x14ac:dyDescent="0.3">
      <c r="A206" s="1" t="s">
        <v>29</v>
      </c>
      <c r="B206" s="1" t="s">
        <v>221</v>
      </c>
      <c r="C206" s="1">
        <v>9325</v>
      </c>
    </row>
    <row r="207" spans="1:3" x14ac:dyDescent="0.3">
      <c r="A207" s="1" t="s">
        <v>15</v>
      </c>
      <c r="B207" s="1" t="s">
        <v>222</v>
      </c>
      <c r="C207" s="1">
        <v>8680</v>
      </c>
    </row>
    <row r="208" spans="1:3" x14ac:dyDescent="0.3">
      <c r="A208" s="1" t="s">
        <v>5</v>
      </c>
      <c r="B208" s="1" t="s">
        <v>211</v>
      </c>
      <c r="C208" s="1">
        <v>1273</v>
      </c>
    </row>
    <row r="209" spans="1:3" x14ac:dyDescent="0.3">
      <c r="A209" s="1" t="s">
        <v>186</v>
      </c>
      <c r="B209" s="1" t="s">
        <v>223</v>
      </c>
      <c r="C209" s="1">
        <v>3690</v>
      </c>
    </row>
    <row r="210" spans="1:3" x14ac:dyDescent="0.3">
      <c r="A210" s="1" t="s">
        <v>55</v>
      </c>
      <c r="B210" s="1" t="s">
        <v>224</v>
      </c>
      <c r="C210" s="1">
        <v>5397</v>
      </c>
    </row>
    <row r="211" spans="1:3" x14ac:dyDescent="0.3">
      <c r="A211" s="1" t="s">
        <v>40</v>
      </c>
      <c r="B211" s="1" t="s">
        <v>130</v>
      </c>
      <c r="C211" s="1">
        <v>3114</v>
      </c>
    </row>
    <row r="212" spans="1:3" x14ac:dyDescent="0.3">
      <c r="A212" s="1" t="s">
        <v>57</v>
      </c>
      <c r="B212" s="1" t="s">
        <v>107</v>
      </c>
      <c r="C212" s="1">
        <v>2486</v>
      </c>
    </row>
    <row r="213" spans="1:3" x14ac:dyDescent="0.3">
      <c r="A213" s="1" t="s">
        <v>22</v>
      </c>
      <c r="B213" s="1" t="s">
        <v>225</v>
      </c>
      <c r="C213" s="1">
        <v>7474</v>
      </c>
    </row>
    <row r="214" spans="1:3" x14ac:dyDescent="0.3">
      <c r="A214" s="1" t="s">
        <v>5</v>
      </c>
      <c r="B214" s="1" t="s">
        <v>226</v>
      </c>
      <c r="C214" s="1">
        <v>9675</v>
      </c>
    </row>
    <row r="215" spans="1:3" x14ac:dyDescent="0.3">
      <c r="A215" s="1" t="s">
        <v>59</v>
      </c>
      <c r="B215" s="1" t="s">
        <v>155</v>
      </c>
      <c r="C215" s="1">
        <v>2255</v>
      </c>
    </row>
    <row r="216" spans="1:3" x14ac:dyDescent="0.3">
      <c r="A216" s="1" t="s">
        <v>121</v>
      </c>
      <c r="B216" s="1" t="s">
        <v>48</v>
      </c>
      <c r="C216" s="1">
        <v>2283</v>
      </c>
    </row>
    <row r="217" spans="1:3" x14ac:dyDescent="0.3">
      <c r="A217" s="1" t="s">
        <v>227</v>
      </c>
      <c r="B217" s="1" t="s">
        <v>228</v>
      </c>
      <c r="C217" s="1">
        <v>369</v>
      </c>
    </row>
    <row r="218" spans="1:3" x14ac:dyDescent="0.3">
      <c r="A218" s="1" t="s">
        <v>40</v>
      </c>
      <c r="B218" s="1" t="s">
        <v>139</v>
      </c>
      <c r="C218" s="1">
        <v>2480</v>
      </c>
    </row>
    <row r="219" spans="1:3" x14ac:dyDescent="0.3">
      <c r="A219" s="1" t="s">
        <v>51</v>
      </c>
      <c r="B219" s="1" t="s">
        <v>140</v>
      </c>
      <c r="C219" s="1">
        <v>2381</v>
      </c>
    </row>
    <row r="220" spans="1:3" x14ac:dyDescent="0.3">
      <c r="A220" s="1" t="s">
        <v>82</v>
      </c>
      <c r="B220" s="1" t="s">
        <v>229</v>
      </c>
      <c r="C220" s="1">
        <v>7815</v>
      </c>
    </row>
    <row r="221" spans="1:3" x14ac:dyDescent="0.3">
      <c r="A221" s="1" t="s">
        <v>57</v>
      </c>
      <c r="B221" s="1" t="s">
        <v>167</v>
      </c>
      <c r="C221" s="1">
        <v>7240</v>
      </c>
    </row>
    <row r="222" spans="1:3" x14ac:dyDescent="0.3">
      <c r="A222" s="1" t="s">
        <v>23</v>
      </c>
      <c r="B222" s="1" t="s">
        <v>230</v>
      </c>
      <c r="C222" s="1">
        <v>7592</v>
      </c>
    </row>
    <row r="223" spans="1:3" x14ac:dyDescent="0.3">
      <c r="A223" s="1" t="s">
        <v>227</v>
      </c>
      <c r="B223" s="1" t="s">
        <v>19</v>
      </c>
      <c r="C223" s="1">
        <v>7087</v>
      </c>
    </row>
    <row r="224" spans="1:3" x14ac:dyDescent="0.3">
      <c r="A224" s="1" t="s">
        <v>17</v>
      </c>
      <c r="B224" s="1" t="s">
        <v>231</v>
      </c>
      <c r="C224" s="1">
        <v>7633</v>
      </c>
    </row>
    <row r="225" spans="1:3" x14ac:dyDescent="0.3">
      <c r="A225" s="1" t="s">
        <v>120</v>
      </c>
      <c r="B225" s="1" t="s">
        <v>232</v>
      </c>
      <c r="C225" s="1">
        <v>6569</v>
      </c>
    </row>
    <row r="226" spans="1:3" x14ac:dyDescent="0.3">
      <c r="A226" s="1" t="s">
        <v>71</v>
      </c>
      <c r="B226" s="1" t="s">
        <v>233</v>
      </c>
      <c r="C226" s="1">
        <v>2763</v>
      </c>
    </row>
    <row r="227" spans="1:3" x14ac:dyDescent="0.3">
      <c r="A227" s="1" t="s">
        <v>182</v>
      </c>
      <c r="B227" s="1" t="s">
        <v>84</v>
      </c>
      <c r="C227" s="1">
        <v>1723</v>
      </c>
    </row>
    <row r="228" spans="1:3" x14ac:dyDescent="0.3">
      <c r="A228" s="1" t="s">
        <v>69</v>
      </c>
      <c r="B228" s="1" t="s">
        <v>234</v>
      </c>
      <c r="C228" s="1">
        <v>4229</v>
      </c>
    </row>
    <row r="229" spans="1:3" x14ac:dyDescent="0.3">
      <c r="A229" s="1" t="s">
        <v>93</v>
      </c>
      <c r="B229" s="1" t="s">
        <v>135</v>
      </c>
      <c r="C229" s="1">
        <v>5581</v>
      </c>
    </row>
    <row r="230" spans="1:3" x14ac:dyDescent="0.3">
      <c r="A230" s="1" t="s">
        <v>17</v>
      </c>
      <c r="B230" s="1" t="s">
        <v>235</v>
      </c>
      <c r="C230" s="1">
        <v>4281</v>
      </c>
    </row>
    <row r="231" spans="1:3" x14ac:dyDescent="0.3">
      <c r="A231" s="1" t="s">
        <v>186</v>
      </c>
      <c r="B231" s="1" t="s">
        <v>236</v>
      </c>
      <c r="C231" s="1">
        <v>8507</v>
      </c>
    </row>
    <row r="232" spans="1:3" x14ac:dyDescent="0.3">
      <c r="A232" s="1" t="s">
        <v>177</v>
      </c>
      <c r="B232" s="1" t="s">
        <v>237</v>
      </c>
      <c r="C232" s="1">
        <v>7386</v>
      </c>
    </row>
    <row r="233" spans="1:3" x14ac:dyDescent="0.3">
      <c r="A233" s="1" t="s">
        <v>117</v>
      </c>
      <c r="B233" s="1" t="s">
        <v>238</v>
      </c>
      <c r="C233" s="1">
        <v>2071</v>
      </c>
    </row>
    <row r="234" spans="1:3" x14ac:dyDescent="0.3">
      <c r="A234" s="1" t="s">
        <v>69</v>
      </c>
      <c r="B234" s="1" t="s">
        <v>239</v>
      </c>
      <c r="C234" s="1">
        <v>7433</v>
      </c>
    </row>
    <row r="235" spans="1:3" x14ac:dyDescent="0.3">
      <c r="A235" s="1" t="s">
        <v>134</v>
      </c>
      <c r="B235" s="1" t="s">
        <v>240</v>
      </c>
      <c r="C235" s="1">
        <v>6056</v>
      </c>
    </row>
    <row r="236" spans="1:3" x14ac:dyDescent="0.3">
      <c r="A236" s="1" t="s">
        <v>117</v>
      </c>
      <c r="B236" s="1" t="s">
        <v>216</v>
      </c>
      <c r="C236" s="1">
        <v>7257</v>
      </c>
    </row>
    <row r="237" spans="1:3" x14ac:dyDescent="0.3">
      <c r="A237" s="1" t="s">
        <v>42</v>
      </c>
      <c r="B237" s="1" t="s">
        <v>162</v>
      </c>
      <c r="C237" s="1">
        <v>4014</v>
      </c>
    </row>
    <row r="238" spans="1:3" x14ac:dyDescent="0.3">
      <c r="A238" s="1" t="s">
        <v>79</v>
      </c>
      <c r="B238" s="1" t="s">
        <v>241</v>
      </c>
      <c r="C238" s="1">
        <v>2251</v>
      </c>
    </row>
    <row r="239" spans="1:3" x14ac:dyDescent="0.3">
      <c r="A239" s="1" t="s">
        <v>57</v>
      </c>
      <c r="B239" s="1" t="s">
        <v>127</v>
      </c>
      <c r="C239" s="1">
        <v>7846</v>
      </c>
    </row>
    <row r="240" spans="1:3" x14ac:dyDescent="0.3">
      <c r="A240" s="1" t="s">
        <v>37</v>
      </c>
      <c r="B240" s="1" t="s">
        <v>242</v>
      </c>
      <c r="C240" s="1">
        <v>4368</v>
      </c>
    </row>
    <row r="241" spans="1:3" x14ac:dyDescent="0.3">
      <c r="A241" s="1" t="s">
        <v>59</v>
      </c>
      <c r="B241" s="1" t="s">
        <v>191</v>
      </c>
      <c r="C241" s="1">
        <v>1755</v>
      </c>
    </row>
    <row r="242" spans="1:3" x14ac:dyDescent="0.3">
      <c r="A242" s="1" t="s">
        <v>227</v>
      </c>
      <c r="B242" s="1" t="s">
        <v>243</v>
      </c>
      <c r="C242" s="1">
        <v>214</v>
      </c>
    </row>
    <row r="243" spans="1:3" x14ac:dyDescent="0.3">
      <c r="A243" s="1" t="s">
        <v>96</v>
      </c>
      <c r="B243" s="1" t="s">
        <v>124</v>
      </c>
      <c r="C243" s="1">
        <v>1101</v>
      </c>
    </row>
    <row r="244" spans="1:3" x14ac:dyDescent="0.3">
      <c r="A244" s="1" t="s">
        <v>169</v>
      </c>
      <c r="B244" s="1" t="s">
        <v>244</v>
      </c>
      <c r="C244" s="1">
        <v>7418</v>
      </c>
    </row>
    <row r="245" spans="1:3" x14ac:dyDescent="0.3">
      <c r="A245" s="1" t="s">
        <v>96</v>
      </c>
      <c r="B245" s="1" t="s">
        <v>212</v>
      </c>
      <c r="C245" s="1">
        <v>1391</v>
      </c>
    </row>
    <row r="246" spans="1:3" x14ac:dyDescent="0.3">
      <c r="A246" s="1" t="s">
        <v>40</v>
      </c>
      <c r="B246" s="1" t="s">
        <v>245</v>
      </c>
      <c r="C246" s="1">
        <v>6457</v>
      </c>
    </row>
    <row r="247" spans="1:3" x14ac:dyDescent="0.3">
      <c r="A247" s="1" t="s">
        <v>246</v>
      </c>
      <c r="B247" s="1" t="s">
        <v>109</v>
      </c>
      <c r="C247" s="1">
        <v>5793</v>
      </c>
    </row>
    <row r="248" spans="1:3" x14ac:dyDescent="0.3">
      <c r="A248" s="1" t="s">
        <v>53</v>
      </c>
      <c r="B248" s="1" t="s">
        <v>213</v>
      </c>
      <c r="C248" s="1">
        <v>1071</v>
      </c>
    </row>
    <row r="249" spans="1:3" x14ac:dyDescent="0.3">
      <c r="A249" s="1" t="s">
        <v>101</v>
      </c>
      <c r="B249" s="1" t="s">
        <v>247</v>
      </c>
      <c r="C249" s="1">
        <v>2289</v>
      </c>
    </row>
    <row r="250" spans="1:3" x14ac:dyDescent="0.3">
      <c r="A250" s="1" t="s">
        <v>42</v>
      </c>
      <c r="B250" s="1" t="s">
        <v>38</v>
      </c>
      <c r="C250" s="1">
        <v>9712</v>
      </c>
    </row>
    <row r="251" spans="1:3" x14ac:dyDescent="0.3">
      <c r="A251" s="1" t="s">
        <v>11</v>
      </c>
      <c r="B251" s="1" t="s">
        <v>56</v>
      </c>
      <c r="C251" s="1">
        <v>7482</v>
      </c>
    </row>
    <row r="252" spans="1:3" x14ac:dyDescent="0.3">
      <c r="A252" s="1" t="s">
        <v>120</v>
      </c>
      <c r="B252" s="1" t="s">
        <v>248</v>
      </c>
      <c r="C252" s="1">
        <v>3673</v>
      </c>
    </row>
    <row r="253" spans="1:3" x14ac:dyDescent="0.3">
      <c r="A253" s="1" t="s">
        <v>128</v>
      </c>
      <c r="B253" s="1" t="s">
        <v>154</v>
      </c>
      <c r="C253" s="1">
        <v>4124</v>
      </c>
    </row>
    <row r="254" spans="1:3" x14ac:dyDescent="0.3">
      <c r="A254" s="1" t="s">
        <v>121</v>
      </c>
      <c r="B254" s="1" t="s">
        <v>143</v>
      </c>
      <c r="C254" s="1">
        <v>2239</v>
      </c>
    </row>
    <row r="255" spans="1:3" x14ac:dyDescent="0.3">
      <c r="A255" s="1" t="s">
        <v>57</v>
      </c>
      <c r="B255" s="1" t="s">
        <v>249</v>
      </c>
      <c r="C255" s="1">
        <v>2546</v>
      </c>
    </row>
    <row r="256" spans="1:3" x14ac:dyDescent="0.3">
      <c r="A256" s="1" t="s">
        <v>5</v>
      </c>
      <c r="B256" s="1" t="s">
        <v>4</v>
      </c>
      <c r="C256" s="1">
        <v>7441</v>
      </c>
    </row>
    <row r="257" spans="1:3" x14ac:dyDescent="0.3">
      <c r="A257" s="1" t="s">
        <v>61</v>
      </c>
      <c r="B257" s="1" t="s">
        <v>250</v>
      </c>
      <c r="C257" s="1">
        <v>5958</v>
      </c>
    </row>
    <row r="258" spans="1:3" x14ac:dyDescent="0.3">
      <c r="A258" s="1" t="s">
        <v>13</v>
      </c>
      <c r="B258" s="1" t="s">
        <v>251</v>
      </c>
      <c r="C258" s="1">
        <v>2241</v>
      </c>
    </row>
    <row r="259" spans="1:3" x14ac:dyDescent="0.3">
      <c r="A259" s="1" t="s">
        <v>53</v>
      </c>
      <c r="B259" s="1" t="s">
        <v>252</v>
      </c>
      <c r="C259" s="1">
        <v>6554</v>
      </c>
    </row>
    <row r="260" spans="1:3" x14ac:dyDescent="0.3">
      <c r="A260" s="1" t="s">
        <v>44</v>
      </c>
      <c r="B260" s="1" t="s">
        <v>253</v>
      </c>
      <c r="C260" s="1">
        <v>7322</v>
      </c>
    </row>
    <row r="261" spans="1:3" x14ac:dyDescent="0.3">
      <c r="A261" s="1" t="s">
        <v>101</v>
      </c>
      <c r="B261" s="1" t="s">
        <v>230</v>
      </c>
      <c r="C261" s="1">
        <v>7041</v>
      </c>
    </row>
    <row r="262" spans="1:3" x14ac:dyDescent="0.3">
      <c r="A262" s="1" t="s">
        <v>63</v>
      </c>
      <c r="B262" s="1" t="s">
        <v>124</v>
      </c>
      <c r="C262" s="1">
        <v>5821</v>
      </c>
    </row>
    <row r="263" spans="1:3" x14ac:dyDescent="0.3">
      <c r="A263" s="1" t="s">
        <v>87</v>
      </c>
      <c r="B263" s="1" t="s">
        <v>253</v>
      </c>
      <c r="C263" s="1">
        <v>8658</v>
      </c>
    </row>
    <row r="264" spans="1:3" x14ac:dyDescent="0.3">
      <c r="A264" s="1" t="s">
        <v>35</v>
      </c>
      <c r="B264" s="1" t="s">
        <v>254</v>
      </c>
      <c r="C264" s="1">
        <v>5701</v>
      </c>
    </row>
    <row r="265" spans="1:3" x14ac:dyDescent="0.3">
      <c r="A265" s="1" t="s">
        <v>3</v>
      </c>
      <c r="B265" s="1" t="s">
        <v>255</v>
      </c>
      <c r="C265" s="1">
        <v>6763</v>
      </c>
    </row>
    <row r="266" spans="1:3" x14ac:dyDescent="0.3">
      <c r="A266" s="1" t="s">
        <v>91</v>
      </c>
      <c r="B266" s="1" t="s">
        <v>256</v>
      </c>
      <c r="C266" s="1">
        <v>6543</v>
      </c>
    </row>
    <row r="267" spans="1:3" x14ac:dyDescent="0.3">
      <c r="A267" s="1" t="s">
        <v>137</v>
      </c>
      <c r="B267" s="1" t="s">
        <v>88</v>
      </c>
      <c r="C267" s="1">
        <v>4357</v>
      </c>
    </row>
    <row r="268" spans="1:3" x14ac:dyDescent="0.3">
      <c r="A268" s="1" t="s">
        <v>3</v>
      </c>
      <c r="B268" s="1" t="s">
        <v>257</v>
      </c>
      <c r="C268" s="1">
        <v>6692</v>
      </c>
    </row>
    <row r="269" spans="1:3" x14ac:dyDescent="0.3">
      <c r="A269" s="1" t="s">
        <v>44</v>
      </c>
      <c r="B269" s="1" t="s">
        <v>126</v>
      </c>
      <c r="C269" s="1">
        <v>5135</v>
      </c>
    </row>
    <row r="270" spans="1:3" x14ac:dyDescent="0.3">
      <c r="A270" s="1" t="s">
        <v>187</v>
      </c>
      <c r="B270" s="1" t="s">
        <v>254</v>
      </c>
      <c r="C270" s="1">
        <v>8114</v>
      </c>
    </row>
    <row r="271" spans="1:3" x14ac:dyDescent="0.3">
      <c r="A271" s="1" t="s">
        <v>33</v>
      </c>
      <c r="B271" s="1" t="s">
        <v>144</v>
      </c>
      <c r="C271" s="1">
        <v>6770</v>
      </c>
    </row>
    <row r="272" spans="1:3" x14ac:dyDescent="0.3">
      <c r="A272" s="1" t="s">
        <v>93</v>
      </c>
      <c r="B272" s="1" t="s">
        <v>172</v>
      </c>
      <c r="C272" s="1">
        <v>6350</v>
      </c>
    </row>
    <row r="273" spans="1:3" x14ac:dyDescent="0.3">
      <c r="A273" s="1" t="s">
        <v>33</v>
      </c>
      <c r="B273" s="1" t="s">
        <v>170</v>
      </c>
      <c r="C273" s="1">
        <v>5219</v>
      </c>
    </row>
    <row r="274" spans="1:3" x14ac:dyDescent="0.3">
      <c r="A274" s="1" t="s">
        <v>93</v>
      </c>
      <c r="B274" s="1" t="s">
        <v>110</v>
      </c>
      <c r="C274" s="1">
        <v>421</v>
      </c>
    </row>
    <row r="275" spans="1:3" x14ac:dyDescent="0.3">
      <c r="A275" s="1" t="s">
        <v>3</v>
      </c>
      <c r="B275" s="1" t="s">
        <v>258</v>
      </c>
      <c r="C275" s="1">
        <v>411</v>
      </c>
    </row>
    <row r="276" spans="1:3" x14ac:dyDescent="0.3">
      <c r="A276" s="1" t="s">
        <v>259</v>
      </c>
      <c r="B276" s="1" t="s">
        <v>14</v>
      </c>
      <c r="C276" s="1">
        <v>4908</v>
      </c>
    </row>
    <row r="277" spans="1:3" x14ac:dyDescent="0.3">
      <c r="A277" s="1" t="s">
        <v>33</v>
      </c>
      <c r="B277" s="1" t="s">
        <v>260</v>
      </c>
      <c r="C277" s="1">
        <v>7352</v>
      </c>
    </row>
    <row r="278" spans="1:3" x14ac:dyDescent="0.3">
      <c r="A278" s="1" t="s">
        <v>7</v>
      </c>
      <c r="B278" s="1" t="s">
        <v>144</v>
      </c>
      <c r="C278" s="1">
        <v>8842</v>
      </c>
    </row>
    <row r="279" spans="1:3" x14ac:dyDescent="0.3">
      <c r="A279" s="1" t="s">
        <v>53</v>
      </c>
      <c r="B279" s="1" t="s">
        <v>234</v>
      </c>
      <c r="C279" s="1">
        <v>2083</v>
      </c>
    </row>
    <row r="280" spans="1:3" x14ac:dyDescent="0.3">
      <c r="A280" s="1" t="s">
        <v>40</v>
      </c>
      <c r="B280" s="1" t="s">
        <v>261</v>
      </c>
      <c r="C280" s="1">
        <v>8304</v>
      </c>
    </row>
    <row r="281" spans="1:3" x14ac:dyDescent="0.3">
      <c r="A281" s="1" t="s">
        <v>117</v>
      </c>
      <c r="B281" s="1" t="s">
        <v>119</v>
      </c>
      <c r="C281" s="1">
        <v>4590</v>
      </c>
    </row>
    <row r="282" spans="1:3" x14ac:dyDescent="0.3">
      <c r="A282" s="1" t="s">
        <v>46</v>
      </c>
      <c r="B282" s="1" t="s">
        <v>262</v>
      </c>
      <c r="C282" s="1">
        <v>2346</v>
      </c>
    </row>
    <row r="283" spans="1:3" x14ac:dyDescent="0.3">
      <c r="A283" s="1" t="s">
        <v>3</v>
      </c>
      <c r="B283" s="1" t="s">
        <v>158</v>
      </c>
      <c r="C283" s="1">
        <v>9922</v>
      </c>
    </row>
    <row r="284" spans="1:3" x14ac:dyDescent="0.3">
      <c r="A284" s="1" t="s">
        <v>82</v>
      </c>
      <c r="B284" s="1" t="s">
        <v>263</v>
      </c>
      <c r="C284" s="1">
        <v>6760</v>
      </c>
    </row>
    <row r="285" spans="1:3" x14ac:dyDescent="0.3">
      <c r="A285" s="1" t="s">
        <v>91</v>
      </c>
      <c r="B285" s="1" t="s">
        <v>264</v>
      </c>
      <c r="C285" s="1">
        <v>7873</v>
      </c>
    </row>
    <row r="286" spans="1:3" x14ac:dyDescent="0.3">
      <c r="A286" s="1" t="s">
        <v>22</v>
      </c>
      <c r="B286" s="1" t="s">
        <v>265</v>
      </c>
      <c r="C286" s="1">
        <v>2359</v>
      </c>
    </row>
    <row r="287" spans="1:3" x14ac:dyDescent="0.3">
      <c r="A287" s="1" t="s">
        <v>33</v>
      </c>
      <c r="B287" s="1" t="s">
        <v>266</v>
      </c>
      <c r="C287" s="1">
        <v>4415</v>
      </c>
    </row>
    <row r="288" spans="1:3" x14ac:dyDescent="0.3">
      <c r="A288" s="1" t="s">
        <v>101</v>
      </c>
      <c r="B288" s="1" t="s">
        <v>267</v>
      </c>
      <c r="C288" s="1">
        <v>7210</v>
      </c>
    </row>
    <row r="289" spans="1:3" x14ac:dyDescent="0.3">
      <c r="A289" s="1" t="s">
        <v>53</v>
      </c>
      <c r="B289" s="1" t="s">
        <v>268</v>
      </c>
      <c r="C289" s="1">
        <v>766</v>
      </c>
    </row>
    <row r="290" spans="1:3" x14ac:dyDescent="0.3">
      <c r="A290" s="1" t="s">
        <v>217</v>
      </c>
      <c r="B290" s="1" t="s">
        <v>269</v>
      </c>
      <c r="C290" s="1">
        <v>7282</v>
      </c>
    </row>
    <row r="291" spans="1:3" x14ac:dyDescent="0.3">
      <c r="A291" s="1" t="s">
        <v>101</v>
      </c>
      <c r="B291" s="1" t="s">
        <v>110</v>
      </c>
      <c r="C291" s="1">
        <v>3671</v>
      </c>
    </row>
    <row r="292" spans="1:3" x14ac:dyDescent="0.3">
      <c r="A292" s="1" t="s">
        <v>17</v>
      </c>
      <c r="B292" s="1" t="s">
        <v>270</v>
      </c>
      <c r="C292" s="1">
        <v>5328</v>
      </c>
    </row>
    <row r="293" spans="1:3" x14ac:dyDescent="0.3">
      <c r="A293" s="1" t="s">
        <v>25</v>
      </c>
      <c r="B293" s="1" t="s">
        <v>271</v>
      </c>
      <c r="C293" s="1">
        <v>1044</v>
      </c>
    </row>
    <row r="294" spans="1:3" x14ac:dyDescent="0.3">
      <c r="A294" s="1" t="s">
        <v>51</v>
      </c>
      <c r="B294" s="1" t="s">
        <v>237</v>
      </c>
      <c r="C294" s="1">
        <v>3753</v>
      </c>
    </row>
    <row r="295" spans="1:3" x14ac:dyDescent="0.3">
      <c r="A295" s="1" t="s">
        <v>35</v>
      </c>
      <c r="B295" s="1" t="s">
        <v>242</v>
      </c>
      <c r="C295" s="1">
        <v>4607</v>
      </c>
    </row>
    <row r="296" spans="1:3" x14ac:dyDescent="0.3">
      <c r="A296" s="1" t="s">
        <v>128</v>
      </c>
      <c r="B296" s="1" t="s">
        <v>272</v>
      </c>
      <c r="C296" s="1">
        <v>5236</v>
      </c>
    </row>
    <row r="297" spans="1:3" x14ac:dyDescent="0.3">
      <c r="A297" s="1" t="s">
        <v>120</v>
      </c>
      <c r="B297" s="1" t="s">
        <v>273</v>
      </c>
      <c r="C297" s="1">
        <v>6380</v>
      </c>
    </row>
    <row r="298" spans="1:3" x14ac:dyDescent="0.3">
      <c r="A298" s="1" t="s">
        <v>22</v>
      </c>
      <c r="B298" s="1" t="s">
        <v>274</v>
      </c>
      <c r="C298" s="1">
        <v>5581</v>
      </c>
    </row>
    <row r="299" spans="1:3" x14ac:dyDescent="0.3">
      <c r="A299" s="1" t="s">
        <v>120</v>
      </c>
      <c r="B299" s="1" t="s">
        <v>275</v>
      </c>
      <c r="C299" s="1">
        <v>8324</v>
      </c>
    </row>
    <row r="300" spans="1:3" x14ac:dyDescent="0.3">
      <c r="A300" s="1" t="s">
        <v>46</v>
      </c>
      <c r="B300" s="1" t="s">
        <v>276</v>
      </c>
      <c r="C300" s="1">
        <v>5937</v>
      </c>
    </row>
    <row r="301" spans="1:3" x14ac:dyDescent="0.3">
      <c r="A301" s="1" t="s">
        <v>46</v>
      </c>
      <c r="B301" s="1" t="s">
        <v>236</v>
      </c>
      <c r="C301" s="1">
        <v>9742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tabSelected="1" workbookViewId="0"/>
  </sheetViews>
  <sheetFormatPr defaultRowHeight="14.4" x14ac:dyDescent="0.3"/>
  <cols>
    <col min="1" max="1" width="10.5546875" customWidth="1"/>
    <col min="5" max="5" width="11.33203125" customWidth="1"/>
    <col min="6" max="6" width="11.109375" customWidth="1"/>
    <col min="7" max="7" width="14.5546875" customWidth="1"/>
    <col min="8" max="8" width="11.6640625" customWidth="1"/>
  </cols>
  <sheetData>
    <row r="1" spans="1:8" x14ac:dyDescent="0.3">
      <c r="A1" s="1" t="s">
        <v>284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</row>
    <row r="2" spans="1:8" x14ac:dyDescent="0.3">
      <c r="A2" s="1" t="s">
        <v>59</v>
      </c>
      <c r="B2" s="1">
        <f ca="1">TODAY()-_xlfn.MAXIFS(tblTransactions!B:B,tblTransactions!A:A,A2)</f>
        <v>46125</v>
      </c>
      <c r="C2" s="1">
        <f>COUNTIFS(tblTransactions!A:A,A2)</f>
        <v>6</v>
      </c>
      <c r="D2" s="1">
        <f>SUMIFS(tblTransactions!C:C,tblTransactions!A:A,A2)</f>
        <v>22837</v>
      </c>
      <c r="E2" s="1">
        <f ca="1">ROUNDUP(_xlfn.RANK.EQ(B2,B:B,1)/COUNT(B:B)*5,0)</f>
        <v>1</v>
      </c>
      <c r="F2" s="1">
        <f>ROUNDUP(_xlfn.RANK.EQ(C2,C:C,0)/COUNT(C:C)*5,0)</f>
        <v>2</v>
      </c>
      <c r="G2" s="1">
        <f>ROUNDUP(_xlfn.RANK.EQ(D2,D:D,0)/COUNT(D:D)*5,0)</f>
        <v>3</v>
      </c>
      <c r="H2" s="1" t="str">
        <f t="shared" ref="H2:H33" ca="1" si="0">E2&amp;F2&amp;G2</f>
        <v>123</v>
      </c>
    </row>
    <row r="3" spans="1:8" x14ac:dyDescent="0.3">
      <c r="A3" s="1" t="s">
        <v>227</v>
      </c>
      <c r="B3" s="1">
        <f ca="1">TODAY()-_xlfn.MAXIFS(tblTransactions!B:B,tblTransactions!A:A,A3)</f>
        <v>46125</v>
      </c>
      <c r="C3" s="1">
        <f>COUNTIFS(tblTransactions!A:A,A3)</f>
        <v>3</v>
      </c>
      <c r="D3" s="1">
        <f>SUMIFS(tblTransactions!C:C,tblTransactions!A:A,A3)</f>
        <v>7670</v>
      </c>
      <c r="E3" s="1">
        <f t="shared" ref="E3:E61" ca="1" si="1">ROUNDUP(_xlfn.RANK.EQ(B3,B:B,1)/COUNT(B:B)*5,0)</f>
        <v>1</v>
      </c>
      <c r="F3" s="1">
        <f t="shared" ref="F3:F61" si="2">ROUNDUP(_xlfn.RANK.EQ(C3,C:C,0)/COUNT(C:C)*5,0)</f>
        <v>4</v>
      </c>
      <c r="G3" s="1">
        <f t="shared" ref="G3:G61" si="3">ROUNDUP(_xlfn.RANK.EQ(D3,D:D,0)/COUNT(D:D)*5,0)</f>
        <v>5</v>
      </c>
      <c r="H3" s="1" t="str">
        <f t="shared" ca="1" si="0"/>
        <v>145</v>
      </c>
    </row>
    <row r="4" spans="1:8" x14ac:dyDescent="0.3">
      <c r="A4" s="1" t="s">
        <v>13</v>
      </c>
      <c r="B4" s="1">
        <f ca="1">TODAY()-_xlfn.MAXIFS(tblTransactions!B:B,tblTransactions!A:A,A4)</f>
        <v>46125</v>
      </c>
      <c r="C4" s="1">
        <f>COUNTIFS(tblTransactions!A:A,A4)</f>
        <v>3</v>
      </c>
      <c r="D4" s="1">
        <f>SUMIFS(tblTransactions!C:C,tblTransactions!A:A,A4)</f>
        <v>7983</v>
      </c>
      <c r="E4" s="1">
        <f t="shared" ca="1" si="1"/>
        <v>1</v>
      </c>
      <c r="F4" s="1">
        <f t="shared" si="2"/>
        <v>4</v>
      </c>
      <c r="G4" s="1">
        <f t="shared" si="3"/>
        <v>5</v>
      </c>
      <c r="H4" s="1" t="str">
        <f t="shared" ca="1" si="0"/>
        <v>145</v>
      </c>
    </row>
    <row r="5" spans="1:8" x14ac:dyDescent="0.3">
      <c r="A5" s="1" t="s">
        <v>79</v>
      </c>
      <c r="B5" s="1">
        <f ca="1">TODAY()-_xlfn.MAXIFS(tblTransactions!B:B,tblTransactions!A:A,A5)</f>
        <v>46125</v>
      </c>
      <c r="C5" s="1">
        <f>COUNTIFS(tblTransactions!A:A,A5)</f>
        <v>5</v>
      </c>
      <c r="D5" s="1">
        <f>SUMIFS(tblTransactions!C:C,tblTransactions!A:A,A5)</f>
        <v>35512</v>
      </c>
      <c r="E5" s="1">
        <f t="shared" ca="1" si="1"/>
        <v>1</v>
      </c>
      <c r="F5" s="1">
        <f t="shared" si="2"/>
        <v>2</v>
      </c>
      <c r="G5" s="1">
        <f t="shared" si="3"/>
        <v>2</v>
      </c>
      <c r="H5" s="1" t="str">
        <f t="shared" ca="1" si="0"/>
        <v>122</v>
      </c>
    </row>
    <row r="6" spans="1:8" x14ac:dyDescent="0.3">
      <c r="A6" s="1" t="s">
        <v>217</v>
      </c>
      <c r="B6" s="1">
        <f ca="1">TODAY()-_xlfn.MAXIFS(tblTransactions!B:B,tblTransactions!A:A,A6)</f>
        <v>46125</v>
      </c>
      <c r="C6" s="1">
        <f>COUNTIFS(tblTransactions!A:A,A6)</f>
        <v>2</v>
      </c>
      <c r="D6" s="1">
        <f>SUMIFS(tblTransactions!C:C,tblTransactions!A:A,A6)</f>
        <v>14548</v>
      </c>
      <c r="E6" s="1">
        <f t="shared" ca="1" si="1"/>
        <v>1</v>
      </c>
      <c r="F6" s="1">
        <f t="shared" si="2"/>
        <v>5</v>
      </c>
      <c r="G6" s="1">
        <f t="shared" si="3"/>
        <v>4</v>
      </c>
      <c r="H6" s="1" t="str">
        <f t="shared" ca="1" si="0"/>
        <v>154</v>
      </c>
    </row>
    <row r="7" spans="1:8" x14ac:dyDescent="0.3">
      <c r="A7" s="1" t="s">
        <v>259</v>
      </c>
      <c r="B7" s="1">
        <f ca="1">TODAY()-_xlfn.MAXIFS(tblTransactions!B:B,tblTransactions!A:A,A7)</f>
        <v>46125</v>
      </c>
      <c r="C7" s="1">
        <f>COUNTIFS(tblTransactions!A:A,A7)</f>
        <v>1</v>
      </c>
      <c r="D7" s="1">
        <f>SUMIFS(tblTransactions!C:C,tblTransactions!A:A,A7)</f>
        <v>4908</v>
      </c>
      <c r="E7" s="1">
        <f t="shared" ca="1" si="1"/>
        <v>1</v>
      </c>
      <c r="F7" s="1">
        <f t="shared" si="2"/>
        <v>5</v>
      </c>
      <c r="G7" s="1">
        <f t="shared" si="3"/>
        <v>5</v>
      </c>
      <c r="H7" s="1" t="str">
        <f t="shared" ca="1" si="0"/>
        <v>155</v>
      </c>
    </row>
    <row r="8" spans="1:8" x14ac:dyDescent="0.3">
      <c r="A8" s="1" t="s">
        <v>63</v>
      </c>
      <c r="B8" s="1">
        <f ca="1">TODAY()-_xlfn.MAXIFS(tblTransactions!B:B,tblTransactions!A:A,A8)</f>
        <v>46125</v>
      </c>
      <c r="C8" s="1">
        <f>COUNTIFS(tblTransactions!A:A,A8)</f>
        <v>5</v>
      </c>
      <c r="D8" s="1">
        <f>SUMIFS(tblTransactions!C:C,tblTransactions!A:A,A8)</f>
        <v>24698</v>
      </c>
      <c r="E8" s="1">
        <f t="shared" ca="1" si="1"/>
        <v>1</v>
      </c>
      <c r="F8" s="1">
        <f t="shared" si="2"/>
        <v>2</v>
      </c>
      <c r="G8" s="1">
        <f t="shared" si="3"/>
        <v>3</v>
      </c>
      <c r="H8" s="1" t="str">
        <f t="shared" ca="1" si="0"/>
        <v>123</v>
      </c>
    </row>
    <row r="9" spans="1:8" x14ac:dyDescent="0.3">
      <c r="A9" s="1" t="s">
        <v>169</v>
      </c>
      <c r="B9" s="1">
        <f ca="1">TODAY()-_xlfn.MAXIFS(tblTransactions!B:B,tblTransactions!A:A,A9)</f>
        <v>46125</v>
      </c>
      <c r="C9" s="1">
        <f>COUNTIFS(tblTransactions!A:A,A9)</f>
        <v>3</v>
      </c>
      <c r="D9" s="1">
        <f>SUMIFS(tblTransactions!C:C,tblTransactions!A:A,A9)</f>
        <v>16659</v>
      </c>
      <c r="E9" s="1">
        <f t="shared" ca="1" si="1"/>
        <v>1</v>
      </c>
      <c r="F9" s="1">
        <f t="shared" si="2"/>
        <v>4</v>
      </c>
      <c r="G9" s="1">
        <f t="shared" si="3"/>
        <v>4</v>
      </c>
      <c r="H9" s="1" t="str">
        <f t="shared" ca="1" si="0"/>
        <v>144</v>
      </c>
    </row>
    <row r="10" spans="1:8" x14ac:dyDescent="0.3">
      <c r="A10" s="1" t="s">
        <v>40</v>
      </c>
      <c r="B10" s="1">
        <f ca="1">TODAY()-_xlfn.MAXIFS(tblTransactions!B:B,tblTransactions!A:A,A10)</f>
        <v>46125</v>
      </c>
      <c r="C10" s="1">
        <f>COUNTIFS(tblTransactions!A:A,A10)</f>
        <v>10</v>
      </c>
      <c r="D10" s="1">
        <f>SUMIFS(tblTransactions!C:C,tblTransactions!A:A,A10)</f>
        <v>49900</v>
      </c>
      <c r="E10" s="1">
        <f t="shared" ca="1" si="1"/>
        <v>1</v>
      </c>
      <c r="F10" s="1">
        <f t="shared" si="2"/>
        <v>1</v>
      </c>
      <c r="G10" s="1">
        <f t="shared" si="3"/>
        <v>1</v>
      </c>
      <c r="H10" s="1" t="str">
        <f t="shared" ca="1" si="0"/>
        <v>111</v>
      </c>
    </row>
    <row r="11" spans="1:8" x14ac:dyDescent="0.3">
      <c r="A11" s="1" t="s">
        <v>101</v>
      </c>
      <c r="B11" s="1">
        <f ca="1">TODAY()-_xlfn.MAXIFS(tblTransactions!B:B,tblTransactions!A:A,A11)</f>
        <v>46125</v>
      </c>
      <c r="C11" s="1">
        <f>COUNTIFS(tblTransactions!A:A,A11)</f>
        <v>8</v>
      </c>
      <c r="D11" s="1">
        <f>SUMIFS(tblTransactions!C:C,tblTransactions!A:A,A11)</f>
        <v>37557</v>
      </c>
      <c r="E11" s="1">
        <f t="shared" ca="1" si="1"/>
        <v>1</v>
      </c>
      <c r="F11" s="1">
        <f t="shared" si="2"/>
        <v>1</v>
      </c>
      <c r="G11" s="1">
        <f t="shared" si="3"/>
        <v>1</v>
      </c>
      <c r="H11" s="1" t="str">
        <f t="shared" ca="1" si="0"/>
        <v>111</v>
      </c>
    </row>
    <row r="12" spans="1:8" x14ac:dyDescent="0.3">
      <c r="A12" s="1" t="s">
        <v>11</v>
      </c>
      <c r="B12" s="1">
        <f ca="1">TODAY()-_xlfn.MAXIFS(tblTransactions!B:B,tblTransactions!A:A,A12)</f>
        <v>46125</v>
      </c>
      <c r="C12" s="1">
        <f>COUNTIFS(tblTransactions!A:A,A12)</f>
        <v>4</v>
      </c>
      <c r="D12" s="1">
        <f>SUMIFS(tblTransactions!C:C,tblTransactions!A:A,A12)</f>
        <v>20280</v>
      </c>
      <c r="E12" s="1">
        <f t="shared" ca="1" si="1"/>
        <v>1</v>
      </c>
      <c r="F12" s="1">
        <f t="shared" si="2"/>
        <v>3</v>
      </c>
      <c r="G12" s="1">
        <f t="shared" si="3"/>
        <v>3</v>
      </c>
      <c r="H12" s="1" t="str">
        <f t="shared" ca="1" si="0"/>
        <v>133</v>
      </c>
    </row>
    <row r="13" spans="1:8" x14ac:dyDescent="0.3">
      <c r="A13" s="1" t="s">
        <v>22</v>
      </c>
      <c r="B13" s="1">
        <f ca="1">TODAY()-_xlfn.MAXIFS(tblTransactions!B:B,tblTransactions!A:A,A13)</f>
        <v>46125</v>
      </c>
      <c r="C13" s="1">
        <f>COUNTIFS(tblTransactions!A:A,A13)</f>
        <v>6</v>
      </c>
      <c r="D13" s="1">
        <f>SUMIFS(tblTransactions!C:C,tblTransactions!A:A,A13)</f>
        <v>28702</v>
      </c>
      <c r="E13" s="1">
        <f t="shared" ca="1" si="1"/>
        <v>1</v>
      </c>
      <c r="F13" s="1">
        <f t="shared" si="2"/>
        <v>2</v>
      </c>
      <c r="G13" s="1">
        <f t="shared" si="3"/>
        <v>3</v>
      </c>
      <c r="H13" s="1" t="str">
        <f t="shared" ca="1" si="0"/>
        <v>123</v>
      </c>
    </row>
    <row r="14" spans="1:8" x14ac:dyDescent="0.3">
      <c r="A14" s="1" t="s">
        <v>17</v>
      </c>
      <c r="B14" s="1">
        <f ca="1">TODAY()-_xlfn.MAXIFS(tblTransactions!B:B,tblTransactions!A:A,A14)</f>
        <v>46125</v>
      </c>
      <c r="C14" s="1">
        <f>COUNTIFS(tblTransactions!A:A,A14)</f>
        <v>5</v>
      </c>
      <c r="D14" s="1">
        <f>SUMIFS(tblTransactions!C:C,tblTransactions!A:A,A14)</f>
        <v>23531</v>
      </c>
      <c r="E14" s="1">
        <f t="shared" ca="1" si="1"/>
        <v>1</v>
      </c>
      <c r="F14" s="1">
        <f t="shared" si="2"/>
        <v>2</v>
      </c>
      <c r="G14" s="1">
        <f t="shared" si="3"/>
        <v>3</v>
      </c>
      <c r="H14" s="1" t="str">
        <f t="shared" ca="1" si="0"/>
        <v>123</v>
      </c>
    </row>
    <row r="15" spans="1:8" x14ac:dyDescent="0.3">
      <c r="A15" s="1" t="s">
        <v>71</v>
      </c>
      <c r="B15" s="1">
        <f ca="1">TODAY()-_xlfn.MAXIFS(tblTransactions!B:B,tblTransactions!A:A,A15)</f>
        <v>46125</v>
      </c>
      <c r="C15" s="1">
        <f>COUNTIFS(tblTransactions!A:A,A15)</f>
        <v>5</v>
      </c>
      <c r="D15" s="1">
        <f>SUMIFS(tblTransactions!C:C,tblTransactions!A:A,A15)</f>
        <v>22717</v>
      </c>
      <c r="E15" s="1">
        <f t="shared" ca="1" si="1"/>
        <v>1</v>
      </c>
      <c r="F15" s="1">
        <f t="shared" si="2"/>
        <v>2</v>
      </c>
      <c r="G15" s="1">
        <f t="shared" si="3"/>
        <v>3</v>
      </c>
      <c r="H15" s="1" t="str">
        <f t="shared" ca="1" si="0"/>
        <v>123</v>
      </c>
    </row>
    <row r="16" spans="1:8" x14ac:dyDescent="0.3">
      <c r="A16" s="1" t="s">
        <v>177</v>
      </c>
      <c r="B16" s="1">
        <f ca="1">TODAY()-_xlfn.MAXIFS(tblTransactions!B:B,tblTransactions!A:A,A16)</f>
        <v>46125</v>
      </c>
      <c r="C16" s="1">
        <f>COUNTIFS(tblTransactions!A:A,A16)</f>
        <v>2</v>
      </c>
      <c r="D16" s="1">
        <f>SUMIFS(tblTransactions!C:C,tblTransactions!A:A,A16)</f>
        <v>10521</v>
      </c>
      <c r="E16" s="1">
        <f t="shared" ca="1" si="1"/>
        <v>1</v>
      </c>
      <c r="F16" s="1">
        <f t="shared" si="2"/>
        <v>5</v>
      </c>
      <c r="G16" s="1">
        <f t="shared" si="3"/>
        <v>5</v>
      </c>
      <c r="H16" s="1" t="str">
        <f t="shared" ca="1" si="0"/>
        <v>155</v>
      </c>
    </row>
    <row r="17" spans="1:8" x14ac:dyDescent="0.3">
      <c r="A17" s="1" t="s">
        <v>7</v>
      </c>
      <c r="B17" s="1">
        <f ca="1">TODAY()-_xlfn.MAXIFS(tblTransactions!B:B,tblTransactions!A:A,A17)</f>
        <v>46125</v>
      </c>
      <c r="C17" s="1">
        <f>COUNTIFS(tblTransactions!A:A,A17)</f>
        <v>4</v>
      </c>
      <c r="D17" s="1">
        <f>SUMIFS(tblTransactions!C:C,tblTransactions!A:A,A17)</f>
        <v>32411</v>
      </c>
      <c r="E17" s="1">
        <f t="shared" ca="1" si="1"/>
        <v>1</v>
      </c>
      <c r="F17" s="1">
        <f t="shared" si="2"/>
        <v>3</v>
      </c>
      <c r="G17" s="1">
        <f t="shared" si="3"/>
        <v>2</v>
      </c>
      <c r="H17" s="1" t="str">
        <f t="shared" ca="1" si="0"/>
        <v>132</v>
      </c>
    </row>
    <row r="18" spans="1:8" x14ac:dyDescent="0.3">
      <c r="A18" s="1" t="s">
        <v>137</v>
      </c>
      <c r="B18" s="1">
        <f ca="1">TODAY()-_xlfn.MAXIFS(tblTransactions!B:B,tblTransactions!A:A,A18)</f>
        <v>46125</v>
      </c>
      <c r="C18" s="1">
        <f>COUNTIFS(tblTransactions!A:A,A18)</f>
        <v>4</v>
      </c>
      <c r="D18" s="1">
        <f>SUMIFS(tblTransactions!C:C,tblTransactions!A:A,A18)</f>
        <v>25898</v>
      </c>
      <c r="E18" s="1">
        <f t="shared" ca="1" si="1"/>
        <v>1</v>
      </c>
      <c r="F18" s="1">
        <f t="shared" si="2"/>
        <v>3</v>
      </c>
      <c r="G18" s="1">
        <f t="shared" si="3"/>
        <v>3</v>
      </c>
      <c r="H18" s="1" t="str">
        <f t="shared" ca="1" si="0"/>
        <v>133</v>
      </c>
    </row>
    <row r="19" spans="1:8" x14ac:dyDescent="0.3">
      <c r="A19" s="1" t="s">
        <v>114</v>
      </c>
      <c r="B19" s="1">
        <f ca="1">TODAY()-_xlfn.MAXIFS(tblTransactions!B:B,tblTransactions!A:A,A19)</f>
        <v>46125</v>
      </c>
      <c r="C19" s="1">
        <f>COUNTIFS(tblTransactions!A:A,A19)</f>
        <v>2</v>
      </c>
      <c r="D19" s="1">
        <f>SUMIFS(tblTransactions!C:C,tblTransactions!A:A,A19)</f>
        <v>10508</v>
      </c>
      <c r="E19" s="1">
        <f t="shared" ca="1" si="1"/>
        <v>1</v>
      </c>
      <c r="F19" s="1">
        <f t="shared" si="2"/>
        <v>5</v>
      </c>
      <c r="G19" s="1">
        <f t="shared" si="3"/>
        <v>5</v>
      </c>
      <c r="H19" s="1" t="str">
        <f t="shared" ca="1" si="0"/>
        <v>155</v>
      </c>
    </row>
    <row r="20" spans="1:8" x14ac:dyDescent="0.3">
      <c r="A20" s="1" t="s">
        <v>91</v>
      </c>
      <c r="B20" s="1">
        <f ca="1">TODAY()-_xlfn.MAXIFS(tblTransactions!B:B,tblTransactions!A:A,A20)</f>
        <v>46125</v>
      </c>
      <c r="C20" s="1">
        <f>COUNTIFS(tblTransactions!A:A,A20)</f>
        <v>5</v>
      </c>
      <c r="D20" s="1">
        <f>SUMIFS(tblTransactions!C:C,tblTransactions!A:A,A20)</f>
        <v>26321</v>
      </c>
      <c r="E20" s="1">
        <f t="shared" ca="1" si="1"/>
        <v>1</v>
      </c>
      <c r="F20" s="1">
        <f t="shared" si="2"/>
        <v>2</v>
      </c>
      <c r="G20" s="1">
        <f t="shared" si="3"/>
        <v>3</v>
      </c>
      <c r="H20" s="1" t="str">
        <f t="shared" ca="1" si="0"/>
        <v>123</v>
      </c>
    </row>
    <row r="21" spans="1:8" x14ac:dyDescent="0.3">
      <c r="A21" s="1" t="s">
        <v>61</v>
      </c>
      <c r="B21" s="1">
        <f ca="1">TODAY()-_xlfn.MAXIFS(tblTransactions!B:B,tblTransactions!A:A,A21)</f>
        <v>46125</v>
      </c>
      <c r="C21" s="1">
        <f>COUNTIFS(tblTransactions!A:A,A21)</f>
        <v>4</v>
      </c>
      <c r="D21" s="1">
        <f>SUMIFS(tblTransactions!C:C,tblTransactions!A:A,A21)</f>
        <v>27401</v>
      </c>
      <c r="E21" s="1">
        <f t="shared" ca="1" si="1"/>
        <v>1</v>
      </c>
      <c r="F21" s="1">
        <f t="shared" si="2"/>
        <v>3</v>
      </c>
      <c r="G21" s="1">
        <f t="shared" si="3"/>
        <v>3</v>
      </c>
      <c r="H21" s="1" t="str">
        <f t="shared" ca="1" si="0"/>
        <v>133</v>
      </c>
    </row>
    <row r="22" spans="1:8" x14ac:dyDescent="0.3">
      <c r="A22" s="1" t="s">
        <v>15</v>
      </c>
      <c r="B22" s="1">
        <f ca="1">TODAY()-_xlfn.MAXIFS(tblTransactions!B:B,tblTransactions!A:A,A22)</f>
        <v>46125</v>
      </c>
      <c r="C22" s="1">
        <f>COUNTIFS(tblTransactions!A:A,A22)</f>
        <v>9</v>
      </c>
      <c r="D22" s="1">
        <f>SUMIFS(tblTransactions!C:C,tblTransactions!A:A,A22)</f>
        <v>65341</v>
      </c>
      <c r="E22" s="1">
        <f t="shared" ca="1" si="1"/>
        <v>1</v>
      </c>
      <c r="F22" s="1">
        <f t="shared" si="2"/>
        <v>1</v>
      </c>
      <c r="G22" s="1">
        <f t="shared" si="3"/>
        <v>1</v>
      </c>
      <c r="H22" s="1" t="str">
        <f t="shared" ca="1" si="0"/>
        <v>111</v>
      </c>
    </row>
    <row r="23" spans="1:8" x14ac:dyDescent="0.3">
      <c r="A23" s="1" t="s">
        <v>87</v>
      </c>
      <c r="B23" s="1">
        <f ca="1">TODAY()-_xlfn.MAXIFS(tblTransactions!B:B,tblTransactions!A:A,A23)</f>
        <v>46125</v>
      </c>
      <c r="C23" s="1">
        <f>COUNTIFS(tblTransactions!A:A,A23)</f>
        <v>5</v>
      </c>
      <c r="D23" s="1">
        <f>SUMIFS(tblTransactions!C:C,tblTransactions!A:A,A23)</f>
        <v>37977</v>
      </c>
      <c r="E23" s="1">
        <f t="shared" ca="1" si="1"/>
        <v>1</v>
      </c>
      <c r="F23" s="1">
        <f t="shared" si="2"/>
        <v>2</v>
      </c>
      <c r="G23" s="1">
        <f t="shared" si="3"/>
        <v>1</v>
      </c>
      <c r="H23" s="1" t="str">
        <f t="shared" ca="1" si="0"/>
        <v>121</v>
      </c>
    </row>
    <row r="24" spans="1:8" x14ac:dyDescent="0.3">
      <c r="A24" s="1" t="s">
        <v>98</v>
      </c>
      <c r="B24" s="1">
        <f ca="1">TODAY()-_xlfn.MAXIFS(tblTransactions!B:B,tblTransactions!A:A,A24)</f>
        <v>46125</v>
      </c>
      <c r="C24" s="1">
        <f>COUNTIFS(tblTransactions!A:A,A24)</f>
        <v>3</v>
      </c>
      <c r="D24" s="1">
        <f>SUMIFS(tblTransactions!C:C,tblTransactions!A:A,A24)</f>
        <v>6559</v>
      </c>
      <c r="E24" s="1">
        <f t="shared" ca="1" si="1"/>
        <v>1</v>
      </c>
      <c r="F24" s="1">
        <f t="shared" si="2"/>
        <v>4</v>
      </c>
      <c r="G24" s="1">
        <f t="shared" si="3"/>
        <v>5</v>
      </c>
      <c r="H24" s="1" t="str">
        <f t="shared" ca="1" si="0"/>
        <v>145</v>
      </c>
    </row>
    <row r="25" spans="1:8" x14ac:dyDescent="0.3">
      <c r="A25" s="1" t="s">
        <v>44</v>
      </c>
      <c r="B25" s="1">
        <f ca="1">TODAY()-_xlfn.MAXIFS(tblTransactions!B:B,tblTransactions!A:A,A25)</f>
        <v>46125</v>
      </c>
      <c r="C25" s="1">
        <f>COUNTIFS(tblTransactions!A:A,A25)</f>
        <v>5</v>
      </c>
      <c r="D25" s="1">
        <f>SUMIFS(tblTransactions!C:C,tblTransactions!A:A,A25)</f>
        <v>30967</v>
      </c>
      <c r="E25" s="1">
        <f t="shared" ca="1" si="1"/>
        <v>1</v>
      </c>
      <c r="F25" s="1">
        <f t="shared" si="2"/>
        <v>2</v>
      </c>
      <c r="G25" s="1">
        <f t="shared" si="3"/>
        <v>2</v>
      </c>
      <c r="H25" s="1" t="str">
        <f t="shared" ca="1" si="0"/>
        <v>122</v>
      </c>
    </row>
    <row r="26" spans="1:8" x14ac:dyDescent="0.3">
      <c r="A26" s="1" t="s">
        <v>192</v>
      </c>
      <c r="B26" s="1">
        <f ca="1">TODAY()-_xlfn.MAXIFS(tblTransactions!B:B,tblTransactions!A:A,A26)</f>
        <v>46125</v>
      </c>
      <c r="C26" s="1">
        <f>COUNTIFS(tblTransactions!A:A,A26)</f>
        <v>2</v>
      </c>
      <c r="D26" s="1">
        <f>SUMIFS(tblTransactions!C:C,tblTransactions!A:A,A26)</f>
        <v>17040</v>
      </c>
      <c r="E26" s="1">
        <f t="shared" ca="1" si="1"/>
        <v>1</v>
      </c>
      <c r="F26" s="1">
        <f t="shared" si="2"/>
        <v>5</v>
      </c>
      <c r="G26" s="1">
        <f t="shared" si="3"/>
        <v>4</v>
      </c>
      <c r="H26" s="1" t="str">
        <f t="shared" ca="1" si="0"/>
        <v>154</v>
      </c>
    </row>
    <row r="27" spans="1:8" x14ac:dyDescent="0.3">
      <c r="A27" s="1" t="s">
        <v>117</v>
      </c>
      <c r="B27" s="1">
        <f ca="1">TODAY()-_xlfn.MAXIFS(tblTransactions!B:B,tblTransactions!A:A,A27)</f>
        <v>46125</v>
      </c>
      <c r="C27" s="1">
        <f>COUNTIFS(tblTransactions!A:A,A27)</f>
        <v>5</v>
      </c>
      <c r="D27" s="1">
        <f>SUMIFS(tblTransactions!C:C,tblTransactions!A:A,A27)</f>
        <v>28820</v>
      </c>
      <c r="E27" s="1">
        <f t="shared" ca="1" si="1"/>
        <v>1</v>
      </c>
      <c r="F27" s="1">
        <f t="shared" si="2"/>
        <v>2</v>
      </c>
      <c r="G27" s="1">
        <f t="shared" si="3"/>
        <v>3</v>
      </c>
      <c r="H27" s="1" t="str">
        <f t="shared" ca="1" si="0"/>
        <v>123</v>
      </c>
    </row>
    <row r="28" spans="1:8" x14ac:dyDescent="0.3">
      <c r="A28" s="1" t="s">
        <v>9</v>
      </c>
      <c r="B28" s="1">
        <f ca="1">TODAY()-_xlfn.MAXIFS(tblTransactions!B:B,tblTransactions!A:A,A28)</f>
        <v>46125</v>
      </c>
      <c r="C28" s="1">
        <f>COUNTIFS(tblTransactions!A:A,A28)</f>
        <v>4</v>
      </c>
      <c r="D28" s="1">
        <f>SUMIFS(tblTransactions!C:C,tblTransactions!A:A,A28)</f>
        <v>16065</v>
      </c>
      <c r="E28" s="1">
        <f t="shared" ca="1" si="1"/>
        <v>1</v>
      </c>
      <c r="F28" s="1">
        <f t="shared" si="2"/>
        <v>3</v>
      </c>
      <c r="G28" s="1">
        <f t="shared" si="3"/>
        <v>4</v>
      </c>
      <c r="H28" s="1" t="str">
        <f t="shared" ca="1" si="0"/>
        <v>134</v>
      </c>
    </row>
    <row r="29" spans="1:8" x14ac:dyDescent="0.3">
      <c r="A29" s="1" t="s">
        <v>121</v>
      </c>
      <c r="B29" s="1">
        <f ca="1">TODAY()-_xlfn.MAXIFS(tblTransactions!B:B,tblTransactions!A:A,A29)</f>
        <v>46125</v>
      </c>
      <c r="C29" s="1">
        <f>COUNTIFS(tblTransactions!A:A,A29)</f>
        <v>8</v>
      </c>
      <c r="D29" s="1">
        <f>SUMIFS(tblTransactions!C:C,tblTransactions!A:A,A29)</f>
        <v>27790</v>
      </c>
      <c r="E29" s="1">
        <f t="shared" ca="1" si="1"/>
        <v>1</v>
      </c>
      <c r="F29" s="1">
        <f t="shared" si="2"/>
        <v>1</v>
      </c>
      <c r="G29" s="1">
        <f t="shared" si="3"/>
        <v>3</v>
      </c>
      <c r="H29" s="1" t="str">
        <f t="shared" ca="1" si="0"/>
        <v>113</v>
      </c>
    </row>
    <row r="30" spans="1:8" x14ac:dyDescent="0.3">
      <c r="A30" s="1" t="s">
        <v>67</v>
      </c>
      <c r="B30" s="1">
        <f ca="1">TODAY()-_xlfn.MAXIFS(tblTransactions!B:B,tblTransactions!A:A,A30)</f>
        <v>46125</v>
      </c>
      <c r="C30" s="1">
        <f>COUNTIFS(tblTransactions!A:A,A30)</f>
        <v>5</v>
      </c>
      <c r="D30" s="1">
        <f>SUMIFS(tblTransactions!C:C,tblTransactions!A:A,A30)</f>
        <v>33100</v>
      </c>
      <c r="E30" s="1">
        <f t="shared" ca="1" si="1"/>
        <v>1</v>
      </c>
      <c r="F30" s="1">
        <f t="shared" si="2"/>
        <v>2</v>
      </c>
      <c r="G30" s="1">
        <f t="shared" si="3"/>
        <v>2</v>
      </c>
      <c r="H30" s="1" t="str">
        <f t="shared" ca="1" si="0"/>
        <v>122</v>
      </c>
    </row>
    <row r="31" spans="1:8" x14ac:dyDescent="0.3">
      <c r="A31" s="1" t="s">
        <v>120</v>
      </c>
      <c r="B31" s="1">
        <f ca="1">TODAY()-_xlfn.MAXIFS(tblTransactions!B:B,tblTransactions!A:A,A31)</f>
        <v>46125</v>
      </c>
      <c r="C31" s="1">
        <f>COUNTIFS(tblTransactions!A:A,A31)</f>
        <v>6</v>
      </c>
      <c r="D31" s="1">
        <f>SUMIFS(tblTransactions!C:C,tblTransactions!A:A,A31)</f>
        <v>34631</v>
      </c>
      <c r="E31" s="1">
        <f t="shared" ca="1" si="1"/>
        <v>1</v>
      </c>
      <c r="F31" s="1">
        <f t="shared" si="2"/>
        <v>2</v>
      </c>
      <c r="G31" s="1">
        <f t="shared" si="3"/>
        <v>2</v>
      </c>
      <c r="H31" s="1" t="str">
        <f t="shared" ca="1" si="0"/>
        <v>122</v>
      </c>
    </row>
    <row r="32" spans="1:8" x14ac:dyDescent="0.3">
      <c r="A32" s="1" t="s">
        <v>128</v>
      </c>
      <c r="B32" s="1">
        <f ca="1">TODAY()-_xlfn.MAXIFS(tblTransactions!B:B,tblTransactions!A:A,A32)</f>
        <v>46125</v>
      </c>
      <c r="C32" s="1">
        <f>COUNTIFS(tblTransactions!A:A,A32)</f>
        <v>5</v>
      </c>
      <c r="D32" s="1">
        <f>SUMIFS(tblTransactions!C:C,tblTransactions!A:A,A32)</f>
        <v>32664</v>
      </c>
      <c r="E32" s="1">
        <f t="shared" ca="1" si="1"/>
        <v>1</v>
      </c>
      <c r="F32" s="1">
        <f t="shared" si="2"/>
        <v>2</v>
      </c>
      <c r="G32" s="1">
        <f t="shared" si="3"/>
        <v>2</v>
      </c>
      <c r="H32" s="1" t="str">
        <f t="shared" ca="1" si="0"/>
        <v>122</v>
      </c>
    </row>
    <row r="33" spans="1:8" x14ac:dyDescent="0.3">
      <c r="A33" s="1" t="s">
        <v>35</v>
      </c>
      <c r="B33" s="1">
        <f ca="1">TODAY()-_xlfn.MAXIFS(tblTransactions!B:B,tblTransactions!A:A,A33)</f>
        <v>46125</v>
      </c>
      <c r="C33" s="1">
        <f>COUNTIFS(tblTransactions!A:A,A33)</f>
        <v>9</v>
      </c>
      <c r="D33" s="1">
        <f>SUMIFS(tblTransactions!C:C,tblTransactions!A:A,A33)</f>
        <v>58465</v>
      </c>
      <c r="E33" s="1">
        <f t="shared" ca="1" si="1"/>
        <v>1</v>
      </c>
      <c r="F33" s="1">
        <f t="shared" si="2"/>
        <v>1</v>
      </c>
      <c r="G33" s="1">
        <f t="shared" si="3"/>
        <v>1</v>
      </c>
      <c r="H33" s="1" t="str">
        <f t="shared" ca="1" si="0"/>
        <v>111</v>
      </c>
    </row>
    <row r="34" spans="1:8" x14ac:dyDescent="0.3">
      <c r="A34" s="1" t="s">
        <v>49</v>
      </c>
      <c r="B34" s="1">
        <f ca="1">TODAY()-_xlfn.MAXIFS(tblTransactions!B:B,tblTransactions!A:A,A34)</f>
        <v>46125</v>
      </c>
      <c r="C34" s="1">
        <f>COUNTIFS(tblTransactions!A:A,A34)</f>
        <v>5</v>
      </c>
      <c r="D34" s="1">
        <f>SUMIFS(tblTransactions!C:C,tblTransactions!A:A,A34)</f>
        <v>29649</v>
      </c>
      <c r="E34" s="1">
        <f t="shared" ca="1" si="1"/>
        <v>1</v>
      </c>
      <c r="F34" s="1">
        <f t="shared" si="2"/>
        <v>2</v>
      </c>
      <c r="G34" s="1">
        <f t="shared" si="3"/>
        <v>2</v>
      </c>
      <c r="H34" s="1" t="str">
        <f t="shared" ref="H34:H65" ca="1" si="4">E34&amp;F34&amp;G34</f>
        <v>122</v>
      </c>
    </row>
    <row r="35" spans="1:8" x14ac:dyDescent="0.3">
      <c r="A35" s="1" t="s">
        <v>51</v>
      </c>
      <c r="B35" s="1">
        <f ca="1">TODAY()-_xlfn.MAXIFS(tblTransactions!B:B,tblTransactions!A:A,A35)</f>
        <v>46125</v>
      </c>
      <c r="C35" s="1">
        <f>COUNTIFS(tblTransactions!A:A,A35)</f>
        <v>8</v>
      </c>
      <c r="D35" s="1">
        <f>SUMIFS(tblTransactions!C:C,tblTransactions!A:A,A35)</f>
        <v>36006</v>
      </c>
      <c r="E35" s="1">
        <f t="shared" ca="1" si="1"/>
        <v>1</v>
      </c>
      <c r="F35" s="1">
        <f t="shared" si="2"/>
        <v>1</v>
      </c>
      <c r="G35" s="1">
        <f t="shared" si="3"/>
        <v>1</v>
      </c>
      <c r="H35" s="1" t="str">
        <f t="shared" ca="1" si="4"/>
        <v>111</v>
      </c>
    </row>
    <row r="36" spans="1:8" x14ac:dyDescent="0.3">
      <c r="A36" s="1" t="s">
        <v>37</v>
      </c>
      <c r="B36" s="1">
        <f ca="1">TODAY()-_xlfn.MAXIFS(tblTransactions!B:B,tblTransactions!A:A,A36)</f>
        <v>46125</v>
      </c>
      <c r="C36" s="1">
        <f>COUNTIFS(tblTransactions!A:A,A36)</f>
        <v>3</v>
      </c>
      <c r="D36" s="1">
        <f>SUMIFS(tblTransactions!C:C,tblTransactions!A:A,A36)</f>
        <v>8467</v>
      </c>
      <c r="E36" s="1">
        <f t="shared" ca="1" si="1"/>
        <v>1</v>
      </c>
      <c r="F36" s="1">
        <f t="shared" si="2"/>
        <v>4</v>
      </c>
      <c r="G36" s="1">
        <f t="shared" si="3"/>
        <v>5</v>
      </c>
      <c r="H36" s="1" t="str">
        <f t="shared" ca="1" si="4"/>
        <v>145</v>
      </c>
    </row>
    <row r="37" spans="1:8" x14ac:dyDescent="0.3">
      <c r="A37" s="1" t="s">
        <v>53</v>
      </c>
      <c r="B37" s="1">
        <f ca="1">TODAY()-_xlfn.MAXIFS(tblTransactions!B:B,tblTransactions!A:A,A37)</f>
        <v>46125</v>
      </c>
      <c r="C37" s="1">
        <f>COUNTIFS(tblTransactions!A:A,A37)</f>
        <v>10</v>
      </c>
      <c r="D37" s="1">
        <f>SUMIFS(tblTransactions!C:C,tblTransactions!A:A,A37)</f>
        <v>31513</v>
      </c>
      <c r="E37" s="1">
        <f t="shared" ca="1" si="1"/>
        <v>1</v>
      </c>
      <c r="F37" s="1">
        <f t="shared" si="2"/>
        <v>1</v>
      </c>
      <c r="G37" s="1">
        <f t="shared" si="3"/>
        <v>2</v>
      </c>
      <c r="H37" s="1" t="str">
        <f t="shared" ca="1" si="4"/>
        <v>112</v>
      </c>
    </row>
    <row r="38" spans="1:8" x14ac:dyDescent="0.3">
      <c r="A38" s="1" t="s">
        <v>3</v>
      </c>
      <c r="B38" s="1">
        <f ca="1">TODAY()-_xlfn.MAXIFS(tblTransactions!B:B,tblTransactions!A:A,A38)</f>
        <v>46125</v>
      </c>
      <c r="C38" s="1">
        <f>COUNTIFS(tblTransactions!A:A,A38)</f>
        <v>8</v>
      </c>
      <c r="D38" s="1">
        <f>SUMIFS(tblTransactions!C:C,tblTransactions!A:A,A38)</f>
        <v>46360</v>
      </c>
      <c r="E38" s="1">
        <f t="shared" ca="1" si="1"/>
        <v>1</v>
      </c>
      <c r="F38" s="1">
        <f t="shared" si="2"/>
        <v>1</v>
      </c>
      <c r="G38" s="1">
        <f t="shared" si="3"/>
        <v>1</v>
      </c>
      <c r="H38" s="1" t="str">
        <f t="shared" ca="1" si="4"/>
        <v>111</v>
      </c>
    </row>
    <row r="39" spans="1:8" x14ac:dyDescent="0.3">
      <c r="A39" s="1" t="s">
        <v>147</v>
      </c>
      <c r="B39" s="1">
        <f ca="1">TODAY()-_xlfn.MAXIFS(tblTransactions!B:B,tblTransactions!A:A,A39)</f>
        <v>46125</v>
      </c>
      <c r="C39" s="1">
        <f>COUNTIFS(tblTransactions!A:A,A39)</f>
        <v>1</v>
      </c>
      <c r="D39" s="1">
        <f>SUMIFS(tblTransactions!C:C,tblTransactions!A:A,A39)</f>
        <v>9243</v>
      </c>
      <c r="E39" s="1">
        <f t="shared" ca="1" si="1"/>
        <v>1</v>
      </c>
      <c r="F39" s="1">
        <f t="shared" si="2"/>
        <v>5</v>
      </c>
      <c r="G39" s="1">
        <f t="shared" si="3"/>
        <v>5</v>
      </c>
      <c r="H39" s="1" t="str">
        <f t="shared" ca="1" si="4"/>
        <v>155</v>
      </c>
    </row>
    <row r="40" spans="1:8" x14ac:dyDescent="0.3">
      <c r="A40" s="1" t="s">
        <v>29</v>
      </c>
      <c r="B40" s="1">
        <f ca="1">TODAY()-_xlfn.MAXIFS(tblTransactions!B:B,tblTransactions!A:A,A40)</f>
        <v>46125</v>
      </c>
      <c r="C40" s="1">
        <f>COUNTIFS(tblTransactions!A:A,A40)</f>
        <v>9</v>
      </c>
      <c r="D40" s="1">
        <f>SUMIFS(tblTransactions!C:C,tblTransactions!A:A,A40)</f>
        <v>48550</v>
      </c>
      <c r="E40" s="1">
        <f t="shared" ca="1" si="1"/>
        <v>1</v>
      </c>
      <c r="F40" s="1">
        <f t="shared" si="2"/>
        <v>1</v>
      </c>
      <c r="G40" s="1">
        <f t="shared" si="3"/>
        <v>1</v>
      </c>
      <c r="H40" s="1" t="str">
        <f t="shared" ca="1" si="4"/>
        <v>111</v>
      </c>
    </row>
    <row r="41" spans="1:8" x14ac:dyDescent="0.3">
      <c r="A41" s="1" t="s">
        <v>186</v>
      </c>
      <c r="B41" s="1">
        <f ca="1">TODAY()-_xlfn.MAXIFS(tblTransactions!B:B,tblTransactions!A:A,A41)</f>
        <v>46125</v>
      </c>
      <c r="C41" s="1">
        <f>COUNTIFS(tblTransactions!A:A,A41)</f>
        <v>3</v>
      </c>
      <c r="D41" s="1">
        <f>SUMIFS(tblTransactions!C:C,tblTransactions!A:A,A41)</f>
        <v>16850</v>
      </c>
      <c r="E41" s="1">
        <f t="shared" ca="1" si="1"/>
        <v>1</v>
      </c>
      <c r="F41" s="1">
        <f t="shared" si="2"/>
        <v>4</v>
      </c>
      <c r="G41" s="1">
        <f t="shared" si="3"/>
        <v>4</v>
      </c>
      <c r="H41" s="1" t="str">
        <f t="shared" ca="1" si="4"/>
        <v>144</v>
      </c>
    </row>
    <row r="42" spans="1:8" x14ac:dyDescent="0.3">
      <c r="A42" s="1" t="s">
        <v>82</v>
      </c>
      <c r="B42" s="1">
        <f ca="1">TODAY()-_xlfn.MAXIFS(tblTransactions!B:B,tblTransactions!A:A,A42)</f>
        <v>46125</v>
      </c>
      <c r="C42" s="1">
        <f>COUNTIFS(tblTransactions!A:A,A42)</f>
        <v>4</v>
      </c>
      <c r="D42" s="1">
        <f>SUMIFS(tblTransactions!C:C,tblTransactions!A:A,A42)</f>
        <v>18051</v>
      </c>
      <c r="E42" s="1">
        <f t="shared" ca="1" si="1"/>
        <v>1</v>
      </c>
      <c r="F42" s="1">
        <f t="shared" si="2"/>
        <v>3</v>
      </c>
      <c r="G42" s="1">
        <f t="shared" si="3"/>
        <v>4</v>
      </c>
      <c r="H42" s="1" t="str">
        <f t="shared" ca="1" si="4"/>
        <v>134</v>
      </c>
    </row>
    <row r="43" spans="1:8" x14ac:dyDescent="0.3">
      <c r="A43" s="1" t="s">
        <v>23</v>
      </c>
      <c r="B43" s="1">
        <f ca="1">TODAY()-_xlfn.MAXIFS(tblTransactions!B:B,tblTransactions!A:A,A43)</f>
        <v>46125</v>
      </c>
      <c r="C43" s="1">
        <f>COUNTIFS(tblTransactions!A:A,A43)</f>
        <v>7</v>
      </c>
      <c r="D43" s="1">
        <f>SUMIFS(tblTransactions!C:C,tblTransactions!A:A,A43)</f>
        <v>35796</v>
      </c>
      <c r="E43" s="1">
        <f t="shared" ca="1" si="1"/>
        <v>1</v>
      </c>
      <c r="F43" s="1">
        <f t="shared" si="2"/>
        <v>2</v>
      </c>
      <c r="G43" s="1">
        <f t="shared" si="3"/>
        <v>2</v>
      </c>
      <c r="H43" s="1" t="str">
        <f t="shared" ca="1" si="4"/>
        <v>122</v>
      </c>
    </row>
    <row r="44" spans="1:8" x14ac:dyDescent="0.3">
      <c r="A44" s="1" t="s">
        <v>25</v>
      </c>
      <c r="B44" s="1">
        <f ca="1">TODAY()-_xlfn.MAXIFS(tblTransactions!B:B,tblTransactions!A:A,A44)</f>
        <v>46125</v>
      </c>
      <c r="C44" s="1">
        <f>COUNTIFS(tblTransactions!A:A,A44)</f>
        <v>7</v>
      </c>
      <c r="D44" s="1">
        <f>SUMIFS(tblTransactions!C:C,tblTransactions!A:A,A44)</f>
        <v>16865</v>
      </c>
      <c r="E44" s="1">
        <f t="shared" ca="1" si="1"/>
        <v>1</v>
      </c>
      <c r="F44" s="1">
        <f t="shared" si="2"/>
        <v>2</v>
      </c>
      <c r="G44" s="1">
        <f t="shared" si="3"/>
        <v>4</v>
      </c>
      <c r="H44" s="1" t="str">
        <f t="shared" ca="1" si="4"/>
        <v>124</v>
      </c>
    </row>
    <row r="45" spans="1:8" x14ac:dyDescent="0.3">
      <c r="A45" s="1" t="s">
        <v>57</v>
      </c>
      <c r="B45" s="1">
        <f ca="1">TODAY()-_xlfn.MAXIFS(tblTransactions!B:B,tblTransactions!A:A,A45)</f>
        <v>46125</v>
      </c>
      <c r="C45" s="1">
        <f>COUNTIFS(tblTransactions!A:A,A45)</f>
        <v>6</v>
      </c>
      <c r="D45" s="1">
        <f>SUMIFS(tblTransactions!C:C,tblTransactions!A:A,A45)</f>
        <v>36293</v>
      </c>
      <c r="E45" s="1">
        <f t="shared" ca="1" si="1"/>
        <v>1</v>
      </c>
      <c r="F45" s="1">
        <f t="shared" si="2"/>
        <v>2</v>
      </c>
      <c r="G45" s="1">
        <f t="shared" si="3"/>
        <v>1</v>
      </c>
      <c r="H45" s="1" t="str">
        <f t="shared" ca="1" si="4"/>
        <v>121</v>
      </c>
    </row>
    <row r="46" spans="1:8" x14ac:dyDescent="0.3">
      <c r="A46" s="1" t="s">
        <v>5</v>
      </c>
      <c r="B46" s="1">
        <f ca="1">TODAY()-_xlfn.MAXIFS(tblTransactions!B:B,tblTransactions!A:A,A46)</f>
        <v>46125</v>
      </c>
      <c r="C46" s="1">
        <f>COUNTIFS(tblTransactions!A:A,A46)</f>
        <v>9</v>
      </c>
      <c r="D46" s="1">
        <f>SUMIFS(tblTransactions!C:C,tblTransactions!A:A,A46)</f>
        <v>35996</v>
      </c>
      <c r="E46" s="1">
        <f t="shared" ca="1" si="1"/>
        <v>1</v>
      </c>
      <c r="F46" s="1">
        <f t="shared" si="2"/>
        <v>1</v>
      </c>
      <c r="G46" s="1">
        <f t="shared" si="3"/>
        <v>2</v>
      </c>
      <c r="H46" s="1" t="str">
        <f t="shared" ca="1" si="4"/>
        <v>112</v>
      </c>
    </row>
    <row r="47" spans="1:8" x14ac:dyDescent="0.3">
      <c r="A47" s="1" t="s">
        <v>46</v>
      </c>
      <c r="B47" s="1">
        <f ca="1">TODAY()-_xlfn.MAXIFS(tblTransactions!B:B,tblTransactions!A:A,A47)</f>
        <v>46125</v>
      </c>
      <c r="C47" s="1">
        <f>COUNTIFS(tblTransactions!A:A,A47)</f>
        <v>6</v>
      </c>
      <c r="D47" s="1">
        <f>SUMIFS(tblTransactions!C:C,tblTransactions!A:A,A47)</f>
        <v>29842</v>
      </c>
      <c r="E47" s="1">
        <f t="shared" ca="1" si="1"/>
        <v>1</v>
      </c>
      <c r="F47" s="1">
        <f t="shared" si="2"/>
        <v>2</v>
      </c>
      <c r="G47" s="1">
        <f t="shared" si="3"/>
        <v>2</v>
      </c>
      <c r="H47" s="1" t="str">
        <f t="shared" ca="1" si="4"/>
        <v>122</v>
      </c>
    </row>
    <row r="48" spans="1:8" x14ac:dyDescent="0.3">
      <c r="A48" s="1" t="s">
        <v>190</v>
      </c>
      <c r="B48" s="1">
        <f ca="1">TODAY()-_xlfn.MAXIFS(tblTransactions!B:B,tblTransactions!A:A,A48)</f>
        <v>46125</v>
      </c>
      <c r="C48" s="1">
        <f>COUNTIFS(tblTransactions!A:A,A48)</f>
        <v>1</v>
      </c>
      <c r="D48" s="1">
        <f>SUMIFS(tblTransactions!C:C,tblTransactions!A:A,A48)</f>
        <v>7403</v>
      </c>
      <c r="E48" s="1">
        <f t="shared" ca="1" si="1"/>
        <v>1</v>
      </c>
      <c r="F48" s="1">
        <f t="shared" si="2"/>
        <v>5</v>
      </c>
      <c r="G48" s="1">
        <f t="shared" si="3"/>
        <v>5</v>
      </c>
      <c r="H48" s="1" t="str">
        <f t="shared" ca="1" si="4"/>
        <v>155</v>
      </c>
    </row>
    <row r="49" spans="1:8" x14ac:dyDescent="0.3">
      <c r="A49" s="1" t="s">
        <v>246</v>
      </c>
      <c r="B49" s="1">
        <f ca="1">TODAY()-_xlfn.MAXIFS(tblTransactions!B:B,tblTransactions!A:A,A49)</f>
        <v>46125</v>
      </c>
      <c r="C49" s="1">
        <f>COUNTIFS(tblTransactions!A:A,A49)</f>
        <v>1</v>
      </c>
      <c r="D49" s="1">
        <f>SUMIFS(tblTransactions!C:C,tblTransactions!A:A,A49)</f>
        <v>5793</v>
      </c>
      <c r="E49" s="1">
        <f t="shared" ca="1" si="1"/>
        <v>1</v>
      </c>
      <c r="F49" s="1">
        <f t="shared" si="2"/>
        <v>5</v>
      </c>
      <c r="G49" s="1">
        <f t="shared" si="3"/>
        <v>5</v>
      </c>
      <c r="H49" s="1" t="str">
        <f t="shared" ca="1" si="4"/>
        <v>155</v>
      </c>
    </row>
    <row r="50" spans="1:8" x14ac:dyDescent="0.3">
      <c r="A50" s="1" t="s">
        <v>33</v>
      </c>
      <c r="B50" s="1">
        <f ca="1">TODAY()-_xlfn.MAXIFS(tblTransactions!B:B,tblTransactions!A:A,A50)</f>
        <v>46125</v>
      </c>
      <c r="C50" s="1">
        <f>COUNTIFS(tblTransactions!A:A,A50)</f>
        <v>6</v>
      </c>
      <c r="D50" s="1">
        <f>SUMIFS(tblTransactions!C:C,tblTransactions!A:A,A50)</f>
        <v>37652</v>
      </c>
      <c r="E50" s="1">
        <f t="shared" ca="1" si="1"/>
        <v>1</v>
      </c>
      <c r="F50" s="1">
        <f t="shared" si="2"/>
        <v>2</v>
      </c>
      <c r="G50" s="1">
        <f t="shared" si="3"/>
        <v>1</v>
      </c>
      <c r="H50" s="1" t="str">
        <f t="shared" ca="1" si="4"/>
        <v>121</v>
      </c>
    </row>
    <row r="51" spans="1:8" x14ac:dyDescent="0.3">
      <c r="A51" s="1" t="s">
        <v>182</v>
      </c>
      <c r="B51" s="1">
        <f ca="1">TODAY()-_xlfn.MAXIFS(tblTransactions!B:B,tblTransactions!A:A,A51)</f>
        <v>46125</v>
      </c>
      <c r="C51" s="1">
        <f>COUNTIFS(tblTransactions!A:A,A51)</f>
        <v>3</v>
      </c>
      <c r="D51" s="1">
        <f>SUMIFS(tblTransactions!C:C,tblTransactions!A:A,A51)</f>
        <v>9599</v>
      </c>
      <c r="E51" s="1">
        <f t="shared" ca="1" si="1"/>
        <v>1</v>
      </c>
      <c r="F51" s="1">
        <f t="shared" si="2"/>
        <v>4</v>
      </c>
      <c r="G51" s="1">
        <f t="shared" si="3"/>
        <v>5</v>
      </c>
      <c r="H51" s="1" t="str">
        <f t="shared" ca="1" si="4"/>
        <v>145</v>
      </c>
    </row>
    <row r="52" spans="1:8" x14ac:dyDescent="0.3">
      <c r="A52" s="1" t="s">
        <v>42</v>
      </c>
      <c r="B52" s="1">
        <f ca="1">TODAY()-_xlfn.MAXIFS(tblTransactions!B:B,tblTransactions!A:A,A52)</f>
        <v>46125</v>
      </c>
      <c r="C52" s="1">
        <f>COUNTIFS(tblTransactions!A:A,A52)</f>
        <v>8</v>
      </c>
      <c r="D52" s="1">
        <f>SUMIFS(tblTransactions!C:C,tblTransactions!A:A,A52)</f>
        <v>45946</v>
      </c>
      <c r="E52" s="1">
        <f t="shared" ca="1" si="1"/>
        <v>1</v>
      </c>
      <c r="F52" s="1">
        <f t="shared" si="2"/>
        <v>1</v>
      </c>
      <c r="G52" s="1">
        <f t="shared" si="3"/>
        <v>1</v>
      </c>
      <c r="H52" s="1" t="str">
        <f t="shared" ca="1" si="4"/>
        <v>111</v>
      </c>
    </row>
    <row r="53" spans="1:8" x14ac:dyDescent="0.3">
      <c r="A53" s="1" t="s">
        <v>20</v>
      </c>
      <c r="B53" s="1">
        <f ca="1">TODAY()-_xlfn.MAXIFS(tblTransactions!B:B,tblTransactions!A:A,A53)</f>
        <v>46125</v>
      </c>
      <c r="C53" s="1">
        <f>COUNTIFS(tblTransactions!A:A,A53)</f>
        <v>2</v>
      </c>
      <c r="D53" s="1">
        <f>SUMIFS(tblTransactions!C:C,tblTransactions!A:A,A53)</f>
        <v>16837</v>
      </c>
      <c r="E53" s="1">
        <f t="shared" ca="1" si="1"/>
        <v>1</v>
      </c>
      <c r="F53" s="1">
        <f t="shared" si="2"/>
        <v>5</v>
      </c>
      <c r="G53" s="1">
        <f t="shared" si="3"/>
        <v>4</v>
      </c>
      <c r="H53" s="1" t="str">
        <f t="shared" ca="1" si="4"/>
        <v>154</v>
      </c>
    </row>
    <row r="54" spans="1:8" x14ac:dyDescent="0.3">
      <c r="A54" s="1" t="s">
        <v>187</v>
      </c>
      <c r="B54" s="1">
        <f ca="1">TODAY()-_xlfn.MAXIFS(tblTransactions!B:B,tblTransactions!A:A,A54)</f>
        <v>46125</v>
      </c>
      <c r="C54" s="1">
        <f>COUNTIFS(tblTransactions!A:A,A54)</f>
        <v>3</v>
      </c>
      <c r="D54" s="1">
        <f>SUMIFS(tblTransactions!C:C,tblTransactions!A:A,A54)</f>
        <v>18179</v>
      </c>
      <c r="E54" s="1">
        <f t="shared" ca="1" si="1"/>
        <v>1</v>
      </c>
      <c r="F54" s="1">
        <f t="shared" si="2"/>
        <v>4</v>
      </c>
      <c r="G54" s="1">
        <f t="shared" si="3"/>
        <v>4</v>
      </c>
      <c r="H54" s="1" t="str">
        <f t="shared" ca="1" si="4"/>
        <v>144</v>
      </c>
    </row>
    <row r="55" spans="1:8" x14ac:dyDescent="0.3">
      <c r="A55" s="1" t="s">
        <v>55</v>
      </c>
      <c r="B55" s="1">
        <f ca="1">TODAY()-_xlfn.MAXIFS(tblTransactions!B:B,tblTransactions!A:A,A55)</f>
        <v>46125</v>
      </c>
      <c r="C55" s="1">
        <f>COUNTIFS(tblTransactions!A:A,A55)</f>
        <v>3</v>
      </c>
      <c r="D55" s="1">
        <f>SUMIFS(tblTransactions!C:C,tblTransactions!A:A,A55)</f>
        <v>17377</v>
      </c>
      <c r="E55" s="1">
        <f t="shared" ca="1" si="1"/>
        <v>1</v>
      </c>
      <c r="F55" s="1">
        <f t="shared" si="2"/>
        <v>4</v>
      </c>
      <c r="G55" s="1">
        <f t="shared" si="3"/>
        <v>4</v>
      </c>
      <c r="H55" s="1" t="str">
        <f t="shared" ca="1" si="4"/>
        <v>144</v>
      </c>
    </row>
    <row r="56" spans="1:8" x14ac:dyDescent="0.3">
      <c r="A56" s="1" t="s">
        <v>93</v>
      </c>
      <c r="B56" s="1">
        <f ca="1">TODAY()-_xlfn.MAXIFS(tblTransactions!B:B,tblTransactions!A:A,A56)</f>
        <v>46125</v>
      </c>
      <c r="C56" s="1">
        <f>COUNTIFS(tblTransactions!A:A,A56)</f>
        <v>6</v>
      </c>
      <c r="D56" s="1">
        <f>SUMIFS(tblTransactions!C:C,tblTransactions!A:A,A56)</f>
        <v>30869</v>
      </c>
      <c r="E56" s="1">
        <f t="shared" ca="1" si="1"/>
        <v>1</v>
      </c>
      <c r="F56" s="1">
        <f t="shared" si="2"/>
        <v>2</v>
      </c>
      <c r="G56" s="1">
        <f t="shared" si="3"/>
        <v>2</v>
      </c>
      <c r="H56" s="1" t="str">
        <f t="shared" ca="1" si="4"/>
        <v>122</v>
      </c>
    </row>
    <row r="57" spans="1:8" x14ac:dyDescent="0.3">
      <c r="A57" s="1" t="s">
        <v>96</v>
      </c>
      <c r="B57" s="1">
        <f ca="1">TODAY()-_xlfn.MAXIFS(tblTransactions!B:B,tblTransactions!A:A,A57)</f>
        <v>46125</v>
      </c>
      <c r="C57" s="1">
        <f>COUNTIFS(tblTransactions!A:A,A57)</f>
        <v>5</v>
      </c>
      <c r="D57" s="1">
        <f>SUMIFS(tblTransactions!C:C,tblTransactions!A:A,A57)</f>
        <v>15433</v>
      </c>
      <c r="E57" s="1">
        <f t="shared" ca="1" si="1"/>
        <v>1</v>
      </c>
      <c r="F57" s="1">
        <f t="shared" si="2"/>
        <v>2</v>
      </c>
      <c r="G57" s="1">
        <f t="shared" si="3"/>
        <v>4</v>
      </c>
      <c r="H57" s="1" t="str">
        <f t="shared" ca="1" si="4"/>
        <v>124</v>
      </c>
    </row>
    <row r="58" spans="1:8" x14ac:dyDescent="0.3">
      <c r="A58" s="1" t="s">
        <v>27</v>
      </c>
      <c r="B58" s="1">
        <f ca="1">TODAY()-_xlfn.MAXIFS(tblTransactions!B:B,tblTransactions!A:A,A58)</f>
        <v>46125</v>
      </c>
      <c r="C58" s="1">
        <f>COUNTIFS(tblTransactions!A:A,A58)</f>
        <v>4</v>
      </c>
      <c r="D58" s="1">
        <f>SUMIFS(tblTransactions!C:C,tblTransactions!A:A,A58)</f>
        <v>16542</v>
      </c>
      <c r="E58" s="1">
        <f t="shared" ca="1" si="1"/>
        <v>1</v>
      </c>
      <c r="F58" s="1">
        <f t="shared" si="2"/>
        <v>3</v>
      </c>
      <c r="G58" s="1">
        <f t="shared" si="3"/>
        <v>4</v>
      </c>
      <c r="H58" s="1" t="str">
        <f t="shared" ca="1" si="4"/>
        <v>134</v>
      </c>
    </row>
    <row r="59" spans="1:8" x14ac:dyDescent="0.3">
      <c r="A59" s="1" t="s">
        <v>69</v>
      </c>
      <c r="B59" s="1">
        <f ca="1">TODAY()-_xlfn.MAXIFS(tblTransactions!B:B,tblTransactions!A:A,A59)</f>
        <v>46125</v>
      </c>
      <c r="C59" s="1">
        <f>COUNTIFS(tblTransactions!A:A,A59)</f>
        <v>8</v>
      </c>
      <c r="D59" s="1">
        <f>SUMIFS(tblTransactions!C:C,tblTransactions!A:A,A59)</f>
        <v>50928</v>
      </c>
      <c r="E59" s="1">
        <f t="shared" ca="1" si="1"/>
        <v>1</v>
      </c>
      <c r="F59" s="1">
        <f t="shared" si="2"/>
        <v>1</v>
      </c>
      <c r="G59" s="1">
        <f t="shared" si="3"/>
        <v>1</v>
      </c>
      <c r="H59" s="1" t="str">
        <f t="shared" ca="1" si="4"/>
        <v>111</v>
      </c>
    </row>
    <row r="60" spans="1:8" x14ac:dyDescent="0.3">
      <c r="A60" s="1" t="s">
        <v>31</v>
      </c>
      <c r="B60" s="1">
        <f ca="1">TODAY()-_xlfn.MAXIFS(tblTransactions!B:B,tblTransactions!A:A,A60)</f>
        <v>46125</v>
      </c>
      <c r="C60" s="1">
        <f>COUNTIFS(tblTransactions!A:A,A60)</f>
        <v>4</v>
      </c>
      <c r="D60" s="1">
        <f>SUMIFS(tblTransactions!C:C,tblTransactions!A:A,A60)</f>
        <v>12878</v>
      </c>
      <c r="E60" s="1">
        <f t="shared" ca="1" si="1"/>
        <v>1</v>
      </c>
      <c r="F60" s="1">
        <f t="shared" si="2"/>
        <v>3</v>
      </c>
      <c r="G60" s="1">
        <f t="shared" si="3"/>
        <v>5</v>
      </c>
      <c r="H60" s="1" t="str">
        <f t="shared" ca="1" si="4"/>
        <v>135</v>
      </c>
    </row>
    <row r="61" spans="1:8" x14ac:dyDescent="0.3">
      <c r="A61" s="1" t="s">
        <v>134</v>
      </c>
      <c r="B61" s="1">
        <f ca="1">TODAY()-_xlfn.MAXIFS(tblTransactions!B:B,tblTransactions!A:A,A61)</f>
        <v>46125</v>
      </c>
      <c r="C61" s="1">
        <f>COUNTIFS(tblTransactions!A:A,A61)</f>
        <v>7</v>
      </c>
      <c r="D61" s="1">
        <f>SUMIFS(tblTransactions!C:C,tblTransactions!A:A,A61)</f>
        <v>24595</v>
      </c>
      <c r="E61" s="1">
        <f t="shared" ca="1" si="1"/>
        <v>1</v>
      </c>
      <c r="F61" s="1">
        <f t="shared" si="2"/>
        <v>2</v>
      </c>
      <c r="G61" s="1">
        <f t="shared" si="3"/>
        <v>3</v>
      </c>
      <c r="H61" s="1" t="str">
        <f t="shared" ca="1" si="4"/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tblTransactions</vt:lpstr>
      <vt:lpstr>RFM_Scores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PONNAM</cp:lastModifiedBy>
  <dcterms:created xsi:type="dcterms:W3CDTF">2026-04-13T10:50:23Z</dcterms:created>
  <dcterms:modified xsi:type="dcterms:W3CDTF">2026-04-13T12:03:47Z</dcterms:modified>
</cp:coreProperties>
</file>